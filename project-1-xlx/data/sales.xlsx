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F:\Kerjaan\latihan\data_anali\project\project-1-xlx\data\"/>
    </mc:Choice>
  </mc:AlternateContent>
  <xr:revisionPtr revIDLastSave="0" documentId="13_ncr:1_{684F9C97-B735-4C8B-9417-56C04D92819D}" xr6:coauthVersionLast="47" xr6:coauthVersionMax="47" xr10:uidLastSave="{00000000-0000-0000-0000-000000000000}"/>
  <bookViews>
    <workbookView xWindow="1815" yWindow="1815" windowWidth="21600" windowHeight="11295" xr2:uid="{00000000-000D-0000-FFFF-FFFF00000000}"/>
  </bookViews>
  <sheets>
    <sheet name="README" sheetId="5" r:id="rId1"/>
    <sheet name="Products" sheetId="1" r:id="rId2"/>
    <sheet name="Sales Reps" sheetId="2" r:id="rId3"/>
    <sheet name="Orders" sheetId="3" r:id="rId4"/>
    <sheet name="Analysis" sheetId="4" r:id="rId5"/>
    <sheet name="Pivot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J3" i="4"/>
  <c r="J2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I3" i="4"/>
  <c r="I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</calcChain>
</file>

<file path=xl/sharedStrings.xml><?xml version="1.0" encoding="utf-8"?>
<sst xmlns="http://schemas.openxmlformats.org/spreadsheetml/2006/main" count="3820" uniqueCount="741">
  <si>
    <t>Product ID</t>
  </si>
  <si>
    <t>Product Name</t>
  </si>
  <si>
    <t>Category</t>
  </si>
  <si>
    <t>Unit Price</t>
  </si>
  <si>
    <t>Unit Cost</t>
  </si>
  <si>
    <t>P-01</t>
  </si>
  <si>
    <t>Headset</t>
  </si>
  <si>
    <t>Electronics</t>
  </si>
  <si>
    <t>P-02</t>
  </si>
  <si>
    <t>Mouse</t>
  </si>
  <si>
    <t>P-03</t>
  </si>
  <si>
    <t>Keyboard</t>
  </si>
  <si>
    <t>P-04</t>
  </si>
  <si>
    <t>Webcam</t>
  </si>
  <si>
    <t>P-05</t>
  </si>
  <si>
    <t>Blender</t>
  </si>
  <si>
    <t>Home &amp; Living</t>
  </si>
  <si>
    <t>P-06</t>
  </si>
  <si>
    <t>Iron</t>
  </si>
  <si>
    <t>P-07</t>
  </si>
  <si>
    <t>Fan</t>
  </si>
  <si>
    <t>P-08</t>
  </si>
  <si>
    <t>T-Shirt</t>
  </si>
  <si>
    <t>Fashion</t>
  </si>
  <si>
    <t>P-09</t>
  </si>
  <si>
    <t>Pants</t>
  </si>
  <si>
    <t>P-10</t>
  </si>
  <si>
    <t>Shoes</t>
  </si>
  <si>
    <t>Rep ID</t>
  </si>
  <si>
    <t>Sales Rep</t>
  </si>
  <si>
    <t>Region</t>
  </si>
  <si>
    <t>Hire Date</t>
  </si>
  <si>
    <t>Monthly Target</t>
  </si>
  <si>
    <t>R-01</t>
  </si>
  <si>
    <t>John</t>
  </si>
  <si>
    <t>New York</t>
  </si>
  <si>
    <t>2022-03-15</t>
  </si>
  <si>
    <t>R-02</t>
  </si>
  <si>
    <t>Mike</t>
  </si>
  <si>
    <t>Los Angeles</t>
  </si>
  <si>
    <t>2021-07-01</t>
  </si>
  <si>
    <t>R-03</t>
  </si>
  <si>
    <t>Sarah</t>
  </si>
  <si>
    <t>Chicago</t>
  </si>
  <si>
    <t>2023-01-10</t>
  </si>
  <si>
    <t>R-04</t>
  </si>
  <si>
    <t>David</t>
  </si>
  <si>
    <t>Houston</t>
  </si>
  <si>
    <t>2020-11-20</t>
  </si>
  <si>
    <t>R-05</t>
  </si>
  <si>
    <t>Emma</t>
  </si>
  <si>
    <t>Miami</t>
  </si>
  <si>
    <t>2022-09-05</t>
  </si>
  <si>
    <t>Order ID</t>
  </si>
  <si>
    <t>Order Date</t>
  </si>
  <si>
    <t>Quantity</t>
  </si>
  <si>
    <t>ORD-1446</t>
  </si>
  <si>
    <t>ORD-1063</t>
  </si>
  <si>
    <t>ORD-1263</t>
  </si>
  <si>
    <t>ORD-1206</t>
  </si>
  <si>
    <t>ORD-1496</t>
  </si>
  <si>
    <t>ORD-1325</t>
  </si>
  <si>
    <t>ORD-1128</t>
  </si>
  <si>
    <t>ORD-1415</t>
  </si>
  <si>
    <t>ORD-1334</t>
  </si>
  <si>
    <t>ORD-1097</t>
  </si>
  <si>
    <t>ORD-1269</t>
  </si>
  <si>
    <t>ORD-1484</t>
  </si>
  <si>
    <t>ORD-1518</t>
  </si>
  <si>
    <t>ORD-1151</t>
  </si>
  <si>
    <t>ORD-1554</t>
  </si>
  <si>
    <t>ORD-1378</t>
  </si>
  <si>
    <t>ORD-1050</t>
  </si>
  <si>
    <t>ORD-1134</t>
  </si>
  <si>
    <t>ORD-1092</t>
  </si>
  <si>
    <t>ORD-1497</t>
  </si>
  <si>
    <t>ORD-1329</t>
  </si>
  <si>
    <t>ORD-1352</t>
  </si>
  <si>
    <t>ORD-1566</t>
  </si>
  <si>
    <t>ORD-1383</t>
  </si>
  <si>
    <t>ORD-1044</t>
  </si>
  <si>
    <t>ORD-1006</t>
  </si>
  <si>
    <t>ORD-1025</t>
  </si>
  <si>
    <t>ORD-1307</t>
  </si>
  <si>
    <t>ORD-1482</t>
  </si>
  <si>
    <t>ORD-1580</t>
  </si>
  <si>
    <t>ORD-1375</t>
  </si>
  <si>
    <t>ORD-1316</t>
  </si>
  <si>
    <t>ORD-1164</t>
  </si>
  <si>
    <t>ORD-1109</t>
  </si>
  <si>
    <t>ORD-1149</t>
  </si>
  <si>
    <t>ORD-1305</t>
  </si>
  <si>
    <t>ORD-1507</t>
  </si>
  <si>
    <t>ORD-1114</t>
  </si>
  <si>
    <t>ORD-1123</t>
  </si>
  <si>
    <t>ORD-1523</t>
  </si>
  <si>
    <t>ORD-1326</t>
  </si>
  <si>
    <t>ORD-1058</t>
  </si>
  <si>
    <t>ORD-1150</t>
  </si>
  <si>
    <t>ORD-1545</t>
  </si>
  <si>
    <t>ORD-1381</t>
  </si>
  <si>
    <t>ORD-1551</t>
  </si>
  <si>
    <t>ORD-1267</t>
  </si>
  <si>
    <t>ORD-1337</t>
  </si>
  <si>
    <t>ORD-1310</t>
  </si>
  <si>
    <t>ORD-1249</t>
  </si>
  <si>
    <t>ORD-1476</t>
  </si>
  <si>
    <t>ORD-1372</t>
  </si>
  <si>
    <t>ORD-1585</t>
  </si>
  <si>
    <t>ORD-1108</t>
  </si>
  <si>
    <t>ORD-1090</t>
  </si>
  <si>
    <t>ORD-1588</t>
  </si>
  <si>
    <t>ORD-1136</t>
  </si>
  <si>
    <t>ORD-1515</t>
  </si>
  <si>
    <t>ORD-1166</t>
  </si>
  <si>
    <t>ORD-1070</t>
  </si>
  <si>
    <t>ORD-1516</t>
  </si>
  <si>
    <t>ORD-1160</t>
  </si>
  <si>
    <t>ORD-1333</t>
  </si>
  <si>
    <t>ORD-1421</t>
  </si>
  <si>
    <t>ORD-1470</t>
  </si>
  <si>
    <t>ORD-1115</t>
  </si>
  <si>
    <t>ORD-1452</t>
  </si>
  <si>
    <t>ORD-1328</t>
  </si>
  <si>
    <t>ORD-1029</t>
  </si>
  <si>
    <t>ORD-1061</t>
  </si>
  <si>
    <t>ORD-1313</t>
  </si>
  <si>
    <t>ORD-1036</t>
  </si>
  <si>
    <t>ORD-1394</t>
  </si>
  <si>
    <t>ORD-1142</t>
  </si>
  <si>
    <t>ORD-1575</t>
  </si>
  <si>
    <t>ORD-1197</t>
  </si>
  <si>
    <t>ORD-1054</t>
  </si>
  <si>
    <t>ORD-1412</t>
  </si>
  <si>
    <t>ORD-1581</t>
  </si>
  <si>
    <t>ORD-1085</t>
  </si>
  <si>
    <t>ORD-1215</t>
  </si>
  <si>
    <t>ORD-1277</t>
  </si>
  <si>
    <t>ORD-1409</t>
  </si>
  <si>
    <t>ORD-1355</t>
  </si>
  <si>
    <t>ORD-1209</t>
  </si>
  <si>
    <t>ORD-1064</t>
  </si>
  <si>
    <t>ORD-1038</t>
  </si>
  <si>
    <t>ORD-1584</t>
  </si>
  <si>
    <t>ORD-1444</t>
  </si>
  <si>
    <t>ORD-1402</t>
  </si>
  <si>
    <t>ORD-1356</t>
  </si>
  <si>
    <t>ORD-1436</t>
  </si>
  <si>
    <t>ORD-1030</t>
  </si>
  <si>
    <t>ORD-1262</t>
  </si>
  <si>
    <t>ORD-1413</t>
  </si>
  <si>
    <t>ORD-1116</t>
  </si>
  <si>
    <t>ORD-1561</t>
  </si>
  <si>
    <t>ORD-1161</t>
  </si>
  <si>
    <t>ORD-1101</t>
  </si>
  <si>
    <t>ORD-1138</t>
  </si>
  <si>
    <t>ORD-1397</t>
  </si>
  <si>
    <t>ORD-1094</t>
  </si>
  <si>
    <t>ORD-1512</t>
  </si>
  <si>
    <t>ORD-1158</t>
  </si>
  <si>
    <t>ORD-1298</t>
  </si>
  <si>
    <t>ORD-1578</t>
  </si>
  <si>
    <t>ORD-1458</t>
  </si>
  <si>
    <t>ORD-1469</t>
  </si>
  <si>
    <t>ORD-1004</t>
  </si>
  <si>
    <t>ORD-1281</t>
  </si>
  <si>
    <t>ORD-1535</t>
  </si>
  <si>
    <t>ORD-1462</t>
  </si>
  <si>
    <t>ORD-1570</t>
  </si>
  <si>
    <t>ORD-1203</t>
  </si>
  <si>
    <t>ORD-1060</t>
  </si>
  <si>
    <t>ORD-1103</t>
  </si>
  <si>
    <t>ORD-1562</t>
  </si>
  <si>
    <t>ORD-1156</t>
  </si>
  <si>
    <t>ORD-1465</t>
  </si>
  <si>
    <t>ORD-1011</t>
  </si>
  <si>
    <t>ORD-1048</t>
  </si>
  <si>
    <t>ORD-1453</t>
  </si>
  <si>
    <t>ORD-1526</t>
  </si>
  <si>
    <t>ORD-1529</t>
  </si>
  <si>
    <t>ORD-1435</t>
  </si>
  <si>
    <t>ORD-1388</t>
  </si>
  <si>
    <t>ORD-1056</t>
  </si>
  <si>
    <t>ORD-1528</t>
  </si>
  <si>
    <t>ORD-1471</t>
  </si>
  <si>
    <t>ORD-1342</t>
  </si>
  <si>
    <t>ORD-1519</t>
  </si>
  <si>
    <t>ORD-1449</t>
  </si>
  <si>
    <t>ORD-1546</t>
  </si>
  <si>
    <t>ORD-1192</t>
  </si>
  <si>
    <t>ORD-1493</t>
  </si>
  <si>
    <t>ORD-1143</t>
  </si>
  <si>
    <t>ORD-1320</t>
  </si>
  <si>
    <t>ORD-1233</t>
  </si>
  <si>
    <t>ORD-1229</t>
  </si>
  <si>
    <t>ORD-1288</t>
  </si>
  <si>
    <t>ORD-1335</t>
  </si>
  <si>
    <t>ORD-1271</t>
  </si>
  <si>
    <t>ORD-1119</t>
  </si>
  <si>
    <t>ORD-1544</t>
  </si>
  <si>
    <t>ORD-1579</t>
  </si>
  <si>
    <t>ORD-1343</t>
  </si>
  <si>
    <t>ORD-1256</t>
  </si>
  <si>
    <t>ORD-1477</t>
  </si>
  <si>
    <t>ORD-1012</t>
  </si>
  <si>
    <t>ORD-1487</t>
  </si>
  <si>
    <t>ORD-1568</t>
  </si>
  <si>
    <t>ORD-1125</t>
  </si>
  <si>
    <t>ORD-1509</t>
  </si>
  <si>
    <t>ORD-1410</t>
  </si>
  <si>
    <t>ORD-1201</t>
  </si>
  <si>
    <t>ORD-1416</t>
  </si>
  <si>
    <t>ORD-1007</t>
  </si>
  <si>
    <t>ORD-1000</t>
  </si>
  <si>
    <t>ORD-1283</t>
  </si>
  <si>
    <t>ORD-1368</t>
  </si>
  <si>
    <t>ORD-1531</t>
  </si>
  <si>
    <t>ORD-1428</t>
  </si>
  <si>
    <t>ORD-1065</t>
  </si>
  <si>
    <t>ORD-1003</t>
  </si>
  <si>
    <t>ORD-1165</t>
  </si>
  <si>
    <t>ORD-1414</t>
  </si>
  <si>
    <t>ORD-1586</t>
  </si>
  <si>
    <t>ORD-1287</t>
  </si>
  <si>
    <t>ORD-1261</t>
  </si>
  <si>
    <t>ORD-1282</t>
  </si>
  <si>
    <t>ORD-1202</t>
  </si>
  <si>
    <t>ORD-1195</t>
  </si>
  <si>
    <t>ORD-1200</t>
  </si>
  <si>
    <t>ORD-1205</t>
  </si>
  <si>
    <t>ORD-1534</t>
  </si>
  <si>
    <t>ORD-1361</t>
  </si>
  <si>
    <t>ORD-1530</t>
  </si>
  <si>
    <t>ORD-1280</t>
  </si>
  <si>
    <t>ORD-1177</t>
  </si>
  <si>
    <t>ORD-1345</t>
  </si>
  <si>
    <t>ORD-1439</t>
  </si>
  <si>
    <t>ORD-1451</t>
  </si>
  <si>
    <t>ORD-1278</t>
  </si>
  <si>
    <t>ORD-1432</t>
  </si>
  <si>
    <t>ORD-1176</t>
  </si>
  <si>
    <t>ORD-1445</t>
  </si>
  <si>
    <t>ORD-1008</t>
  </si>
  <si>
    <t>ORD-1591</t>
  </si>
  <si>
    <t>ORD-1224</t>
  </si>
  <si>
    <t>ORD-1427</t>
  </si>
  <si>
    <t>ORD-1235</t>
  </si>
  <si>
    <t>ORD-1399</t>
  </si>
  <si>
    <t>ORD-1213</t>
  </si>
  <si>
    <t>ORD-1450</t>
  </si>
  <si>
    <t>ORD-1442</t>
  </si>
  <si>
    <t>ORD-1365</t>
  </si>
  <si>
    <t>ORD-1170</t>
  </si>
  <si>
    <t>ORD-1351</t>
  </si>
  <si>
    <t>ORD-1304</t>
  </si>
  <si>
    <t>ORD-1248</t>
  </si>
  <si>
    <t>ORD-1252</t>
  </si>
  <si>
    <t>ORD-1099</t>
  </si>
  <si>
    <t>ORD-1443</t>
  </si>
  <si>
    <t>ORD-1214</t>
  </si>
  <si>
    <t>ORD-1207</t>
  </si>
  <si>
    <t>ORD-1275</t>
  </si>
  <si>
    <t>ORD-1015</t>
  </si>
  <si>
    <t>ORD-1041</t>
  </si>
  <si>
    <t>ORD-1126</t>
  </si>
  <si>
    <t>ORD-1592</t>
  </si>
  <si>
    <t>ORD-1162</t>
  </si>
  <si>
    <t>ORD-1110</t>
  </si>
  <si>
    <t>ORD-1043</t>
  </si>
  <si>
    <t>ORD-1302</t>
  </si>
  <si>
    <t>ORD-1100</t>
  </si>
  <si>
    <t>ORD-1182</t>
  </si>
  <si>
    <t>ORD-1102</t>
  </si>
  <si>
    <t>ORD-1266</t>
  </si>
  <si>
    <t>ORD-1386</t>
  </si>
  <si>
    <t>ORD-1387</t>
  </si>
  <si>
    <t>ORD-1147</t>
  </si>
  <si>
    <t>ORD-1464</t>
  </si>
  <si>
    <t>ORD-1259</t>
  </si>
  <si>
    <t>ORD-1425</t>
  </si>
  <si>
    <t>ORD-1232</t>
  </si>
  <si>
    <t>ORD-1577</t>
  </si>
  <si>
    <t>ORD-1583</t>
  </si>
  <si>
    <t>ORD-1431</t>
  </si>
  <si>
    <t>ORD-1598</t>
  </si>
  <si>
    <t>ORD-1430</t>
  </si>
  <si>
    <t>ORD-1492</t>
  </si>
  <si>
    <t>ORD-1272</t>
  </si>
  <si>
    <t>ORD-1324</t>
  </si>
  <si>
    <t>ORD-1243</t>
  </si>
  <si>
    <t>ORD-1244</t>
  </si>
  <si>
    <t>ORD-1240</t>
  </si>
  <si>
    <t>ORD-1016</t>
  </si>
  <si>
    <t>ORD-1400</t>
  </si>
  <si>
    <t>ORD-1254</t>
  </si>
  <si>
    <t>ORD-1364</t>
  </si>
  <si>
    <t>ORD-1548</t>
  </si>
  <si>
    <t>ORD-1582</t>
  </si>
  <si>
    <t>ORD-1276</t>
  </si>
  <si>
    <t>ORD-1504</t>
  </si>
  <si>
    <t>ORD-1014</t>
  </si>
  <si>
    <t>ORD-1547</t>
  </si>
  <si>
    <t>ORD-1189</t>
  </si>
  <si>
    <t>ORD-1395</t>
  </si>
  <si>
    <t>ORD-1289</t>
  </si>
  <si>
    <t>ORD-1463</t>
  </si>
  <si>
    <t>ORD-1366</t>
  </si>
  <si>
    <t>ORD-1091</t>
  </si>
  <si>
    <t>ORD-1429</t>
  </si>
  <si>
    <t>ORD-1332</t>
  </si>
  <si>
    <t>ORD-1309</t>
  </si>
  <si>
    <t>ORD-1268</t>
  </si>
  <si>
    <t>ORD-1218</t>
  </si>
  <si>
    <t>ORD-1152</t>
  </si>
  <si>
    <t>ORD-1502</t>
  </si>
  <si>
    <t>ORD-1191</t>
  </si>
  <si>
    <t>ORD-1023</t>
  </si>
  <si>
    <t>ORD-1348</t>
  </si>
  <si>
    <t>ORD-1297</t>
  </si>
  <si>
    <t>ORD-1279</t>
  </si>
  <si>
    <t>ORD-1071</t>
  </si>
  <si>
    <t>ORD-1506</t>
  </si>
  <si>
    <t>ORD-1294</t>
  </si>
  <si>
    <t>ORD-1593</t>
  </si>
  <si>
    <t>ORD-1104</t>
  </si>
  <si>
    <t>ORD-1539</t>
  </si>
  <si>
    <t>ORD-1184</t>
  </si>
  <si>
    <t>ORD-1046</t>
  </si>
  <si>
    <t>ORD-1513</t>
  </si>
  <si>
    <t>ORD-1296</t>
  </si>
  <si>
    <t>ORD-1373</t>
  </si>
  <si>
    <t>ORD-1031</t>
  </si>
  <si>
    <t>ORD-1159</t>
  </si>
  <si>
    <t>ORD-1406</t>
  </si>
  <si>
    <t>ORD-1148</t>
  </si>
  <si>
    <t>ORD-1188</t>
  </si>
  <si>
    <t>ORD-1216</t>
  </si>
  <si>
    <t>ORD-1330</t>
  </si>
  <si>
    <t>ORD-1120</t>
  </si>
  <si>
    <t>ORD-1382</t>
  </si>
  <si>
    <t>ORD-1359</t>
  </si>
  <si>
    <t>ORD-1035</t>
  </si>
  <si>
    <t>ORD-1306</t>
  </si>
  <si>
    <t>ORD-1371</t>
  </si>
  <si>
    <t>ORD-1567</t>
  </si>
  <si>
    <t>ORD-1543</t>
  </si>
  <si>
    <t>ORD-1505</t>
  </si>
  <si>
    <t>ORD-1137</t>
  </si>
  <si>
    <t>ORD-1508</t>
  </si>
  <si>
    <t>ORD-1489</t>
  </si>
  <si>
    <t>ORD-1194</t>
  </si>
  <si>
    <t>ORD-1405</t>
  </si>
  <si>
    <t>ORD-1341</t>
  </si>
  <si>
    <t>ORD-1587</t>
  </si>
  <si>
    <t>ORD-1553</t>
  </si>
  <si>
    <t>ORD-1223</t>
  </si>
  <si>
    <t>ORD-1466</t>
  </si>
  <si>
    <t>ORD-1396</t>
  </si>
  <si>
    <t>ORD-1589</t>
  </si>
  <si>
    <t>ORD-1154</t>
  </si>
  <si>
    <t>ORD-1204</t>
  </si>
  <si>
    <t>ORD-1565</t>
  </si>
  <si>
    <t>ORD-1236</t>
  </si>
  <si>
    <t>ORD-1032</t>
  </si>
  <si>
    <t>ORD-1089</t>
  </si>
  <si>
    <t>ORD-1344</t>
  </si>
  <si>
    <t>ORD-1005</t>
  </si>
  <si>
    <t>ORD-1456</t>
  </si>
  <si>
    <t>ORD-1034</t>
  </si>
  <si>
    <t>ORD-1173</t>
  </si>
  <si>
    <t>ORD-1549</t>
  </si>
  <si>
    <t>ORD-1079</t>
  </si>
  <si>
    <t>ORD-1398</t>
  </si>
  <si>
    <t>ORD-1068</t>
  </si>
  <si>
    <t>ORD-1346</t>
  </si>
  <si>
    <t>ORD-1541</t>
  </si>
  <si>
    <t>ORD-1327</t>
  </si>
  <si>
    <t>ORD-1457</t>
  </si>
  <si>
    <t>ORD-1021</t>
  </si>
  <si>
    <t>ORD-1292</t>
  </si>
  <si>
    <t>ORD-1303</t>
  </si>
  <si>
    <t>ORD-1532</t>
  </si>
  <si>
    <t>ORD-1417</t>
  </si>
  <si>
    <t>ORD-1181</t>
  </si>
  <si>
    <t>ORD-1219</t>
  </si>
  <si>
    <t>ORD-1230</t>
  </si>
  <si>
    <t>ORD-1246</t>
  </si>
  <si>
    <t>ORD-1234</t>
  </si>
  <si>
    <t>ORD-1111</t>
  </si>
  <si>
    <t>ORD-1072</t>
  </si>
  <si>
    <t>ORD-1222</t>
  </si>
  <si>
    <t>ORD-1473</t>
  </si>
  <si>
    <t>ORD-1573</t>
  </si>
  <si>
    <t>ORD-1059</t>
  </si>
  <si>
    <t>ORD-1133</t>
  </si>
  <si>
    <t>ORD-1295</t>
  </si>
  <si>
    <t>ORD-1082</t>
  </si>
  <si>
    <t>ORD-1274</t>
  </si>
  <si>
    <t>ORD-1081</t>
  </si>
  <si>
    <t>ORD-1122</t>
  </si>
  <si>
    <t>ORD-1594</t>
  </si>
  <si>
    <t>ORD-1524</t>
  </si>
  <si>
    <t>ORD-1392</t>
  </si>
  <si>
    <t>ORD-1009</t>
  </si>
  <si>
    <t>ORD-1077</t>
  </si>
  <si>
    <t>ORD-1117</t>
  </si>
  <si>
    <t>ORD-1087</t>
  </si>
  <si>
    <t>ORD-1563</t>
  </si>
  <si>
    <t>ORD-1536</t>
  </si>
  <si>
    <t>ORD-1556</t>
  </si>
  <si>
    <t>ORD-1069</t>
  </si>
  <si>
    <t>ORD-1217</t>
  </si>
  <si>
    <t>ORD-1474</t>
  </si>
  <si>
    <t>ORD-1129</t>
  </si>
  <si>
    <t>ORD-1468</t>
  </si>
  <si>
    <t>ORD-1208</t>
  </si>
  <si>
    <t>ORD-1331</t>
  </si>
  <si>
    <t>ORD-1595</t>
  </si>
  <si>
    <t>ORD-1480</t>
  </si>
  <si>
    <t>ORD-1144</t>
  </si>
  <si>
    <t>ORD-1490</t>
  </si>
  <si>
    <t>ORD-1590</t>
  </si>
  <si>
    <t>ORD-1354</t>
  </si>
  <si>
    <t>ORD-1574</t>
  </si>
  <si>
    <t>ORD-1211</t>
  </si>
  <si>
    <t>ORD-1550</t>
  </si>
  <si>
    <t>ORD-1185</t>
  </si>
  <si>
    <t>ORD-1212</t>
  </si>
  <si>
    <t>ORD-1174</t>
  </si>
  <si>
    <t>ORD-1317</t>
  </si>
  <si>
    <t>ORD-1124</t>
  </si>
  <si>
    <t>ORD-1542</t>
  </si>
  <si>
    <t>ORD-1286</t>
  </si>
  <si>
    <t>ORD-1438</t>
  </si>
  <si>
    <t>ORD-1311</t>
  </si>
  <si>
    <t>ORD-1145</t>
  </si>
  <si>
    <t>ORD-1107</t>
  </si>
  <si>
    <t>ORD-1172</t>
  </si>
  <si>
    <t>ORD-1140</t>
  </si>
  <si>
    <t>ORD-1270</t>
  </si>
  <si>
    <t>ORD-1336</t>
  </si>
  <si>
    <t>ORD-1178</t>
  </si>
  <si>
    <t>ORD-1193</t>
  </si>
  <si>
    <t>ORD-1569</t>
  </si>
  <si>
    <t>ORD-1187</t>
  </si>
  <si>
    <t>ORD-1596</t>
  </si>
  <si>
    <t>ORD-1027</t>
  </si>
  <si>
    <t>ORD-1083</t>
  </si>
  <si>
    <t>ORD-1454</t>
  </si>
  <si>
    <t>ORD-1146</t>
  </si>
  <si>
    <t>ORD-1308</t>
  </si>
  <si>
    <t>ORD-1472</t>
  </si>
  <si>
    <t>ORD-1447</t>
  </si>
  <si>
    <t>ORD-1599</t>
  </si>
  <si>
    <t>ORD-1231</t>
  </si>
  <si>
    <t>ORD-1141</t>
  </si>
  <si>
    <t>ORD-1051</t>
  </si>
  <si>
    <t>ORD-1522</t>
  </si>
  <si>
    <t>ORD-1155</t>
  </si>
  <si>
    <t>ORD-1039</t>
  </si>
  <si>
    <t>ORD-1485</t>
  </si>
  <si>
    <t>ORD-1370</t>
  </si>
  <si>
    <t>ORD-1220</t>
  </si>
  <si>
    <t>ORD-1500</t>
  </si>
  <si>
    <t>ORD-1461</t>
  </si>
  <si>
    <t>ORD-1374</t>
  </si>
  <si>
    <t>ORD-1538</t>
  </si>
  <si>
    <t>ORD-1483</t>
  </si>
  <si>
    <t>ORD-1491</t>
  </si>
  <si>
    <t>ORD-1078</t>
  </si>
  <si>
    <t>ORD-1088</t>
  </si>
  <si>
    <t>ORD-1258</t>
  </si>
  <si>
    <t>ORD-1241</t>
  </si>
  <si>
    <t>ORD-1026</t>
  </si>
  <si>
    <t>ORD-1347</t>
  </si>
  <si>
    <t>ORD-1521</t>
  </si>
  <si>
    <t>ORD-1285</t>
  </si>
  <si>
    <t>ORD-1479</t>
  </si>
  <si>
    <t>ORD-1265</t>
  </si>
  <si>
    <t>ORD-1225</t>
  </si>
  <si>
    <t>ORD-1130</t>
  </si>
  <si>
    <t>ORD-1349</t>
  </si>
  <si>
    <t>ORD-1127</t>
  </si>
  <si>
    <t>ORD-1494</t>
  </si>
  <si>
    <t>ORD-1018</t>
  </si>
  <si>
    <t>ORD-1501</t>
  </si>
  <si>
    <t>ORD-1179</t>
  </si>
  <si>
    <t>ORD-1239</t>
  </si>
  <si>
    <t>ORD-1066</t>
  </si>
  <si>
    <t>ORD-1106</t>
  </si>
  <si>
    <t>ORD-1418</t>
  </si>
  <si>
    <t>ORD-1257</t>
  </si>
  <si>
    <t>ORD-1411</t>
  </si>
  <si>
    <t>ORD-1057</t>
  </si>
  <si>
    <t>ORD-1385</t>
  </si>
  <si>
    <t>ORD-1314</t>
  </si>
  <si>
    <t>ORD-1527</t>
  </si>
  <si>
    <t>ORD-1052</t>
  </si>
  <si>
    <t>ORD-1571</t>
  </si>
  <si>
    <t>ORD-1253</t>
  </si>
  <si>
    <t>ORD-1198</t>
  </si>
  <si>
    <t>ORD-1510</t>
  </si>
  <si>
    <t>ORD-1113</t>
  </si>
  <si>
    <t>ORD-1552</t>
  </si>
  <si>
    <t>ORD-1426</t>
  </si>
  <si>
    <t>ORD-1073</t>
  </si>
  <si>
    <t>ORD-1076</t>
  </si>
  <si>
    <t>ORD-1033</t>
  </si>
  <si>
    <t>ORD-1408</t>
  </si>
  <si>
    <t>ORD-1002</t>
  </si>
  <si>
    <t>ORD-1455</t>
  </si>
  <si>
    <t>ORD-1367</t>
  </si>
  <si>
    <t>ORD-1560</t>
  </si>
  <si>
    <t>ORD-1047</t>
  </si>
  <si>
    <t>ORD-1434</t>
  </si>
  <si>
    <t>ORD-1300</t>
  </si>
  <si>
    <t>ORD-1022</t>
  </si>
  <si>
    <t>ORD-1537</t>
  </si>
  <si>
    <t>ORD-1318</t>
  </si>
  <si>
    <t>ORD-1459</t>
  </si>
  <si>
    <t>ORD-1441</t>
  </si>
  <si>
    <t>ORD-1555</t>
  </si>
  <si>
    <t>ORD-1227</t>
  </si>
  <si>
    <t>ORD-1360</t>
  </si>
  <si>
    <t>ORD-1338</t>
  </si>
  <si>
    <t>ORD-1086</t>
  </si>
  <si>
    <t>ORD-1498</t>
  </si>
  <si>
    <t>ORD-1353</t>
  </si>
  <si>
    <t>ORD-1175</t>
  </si>
  <si>
    <t>ORD-1315</t>
  </si>
  <si>
    <t>ORD-1132</t>
  </si>
  <si>
    <t>ORD-1572</t>
  </si>
  <si>
    <t>ORD-1163</t>
  </si>
  <si>
    <t>ORD-1157</t>
  </si>
  <si>
    <t>ORD-1321</t>
  </si>
  <si>
    <t>ORD-1517</t>
  </si>
  <si>
    <t>ORD-1467</t>
  </si>
  <si>
    <t>ORD-1168</t>
  </si>
  <si>
    <t>ORD-1319</t>
  </si>
  <si>
    <t>ORD-1559</t>
  </si>
  <si>
    <t>ORD-1391</t>
  </si>
  <si>
    <t>ORD-1362</t>
  </si>
  <si>
    <t>ORD-1299</t>
  </si>
  <si>
    <t>ORD-1478</t>
  </si>
  <si>
    <t>ORD-1105</t>
  </si>
  <si>
    <t>ORD-1488</t>
  </si>
  <si>
    <t>ORD-1448</t>
  </si>
  <si>
    <t>ORD-1118</t>
  </si>
  <si>
    <t>ORD-1020</t>
  </si>
  <si>
    <t>ORD-1226</t>
  </si>
  <si>
    <t>ORD-1199</t>
  </si>
  <si>
    <t>ORD-1080</t>
  </si>
  <si>
    <t>ORD-1255</t>
  </si>
  <si>
    <t>ORD-1369</t>
  </si>
  <si>
    <t>ORD-1093</t>
  </si>
  <si>
    <t>ORD-1520</t>
  </si>
  <si>
    <t>ORD-1340</t>
  </si>
  <si>
    <t>ORD-1323</t>
  </si>
  <si>
    <t>ORD-1301</t>
  </si>
  <si>
    <t>ORD-1273</t>
  </si>
  <si>
    <t>ORD-1264</t>
  </si>
  <si>
    <t>ORD-1075</t>
  </si>
  <si>
    <t>ORD-1404</t>
  </si>
  <si>
    <t>ORD-1377</t>
  </si>
  <si>
    <t>ORD-1042</t>
  </si>
  <si>
    <t>ORD-1186</t>
  </si>
  <si>
    <t>ORD-1247</t>
  </si>
  <si>
    <t>ORD-1424</t>
  </si>
  <si>
    <t>ORD-1017</t>
  </si>
  <si>
    <t>ORD-1067</t>
  </si>
  <si>
    <t>ORD-1293</t>
  </si>
  <si>
    <t>ORD-1423</t>
  </si>
  <si>
    <t>ORD-1380</t>
  </si>
  <si>
    <t>ORD-1533</t>
  </si>
  <si>
    <t>ORD-1401</t>
  </si>
  <si>
    <t>ORD-1024</t>
  </si>
  <si>
    <t>ORD-1190</t>
  </si>
  <si>
    <t>ORD-1049</t>
  </si>
  <si>
    <t>ORD-1379</t>
  </si>
  <si>
    <t>ORD-1322</t>
  </si>
  <si>
    <t>ORD-1440</t>
  </si>
  <si>
    <t>ORD-1196</t>
  </si>
  <si>
    <t>ORD-1183</t>
  </si>
  <si>
    <t>ORD-1433</t>
  </si>
  <si>
    <t>ORD-1040</t>
  </si>
  <si>
    <t>ORD-1384</t>
  </si>
  <si>
    <t>ORD-1390</t>
  </si>
  <si>
    <t>ORD-1357</t>
  </si>
  <si>
    <t>ORD-1350</t>
  </si>
  <si>
    <t>ORD-1511</t>
  </si>
  <si>
    <t>ORD-1221</t>
  </si>
  <si>
    <t>ORD-1495</t>
  </si>
  <si>
    <t>ORD-1228</t>
  </si>
  <si>
    <t>ORD-1486</t>
  </si>
  <si>
    <t>ORD-1237</t>
  </si>
  <si>
    <t>ORD-1407</t>
  </si>
  <si>
    <t>ORD-1096</t>
  </si>
  <si>
    <t>ORD-1153</t>
  </si>
  <si>
    <t>ORD-1112</t>
  </si>
  <si>
    <t>ORD-1045</t>
  </si>
  <si>
    <t>ORD-1514</t>
  </si>
  <si>
    <t>ORD-1169</t>
  </si>
  <si>
    <t>ORD-1010</t>
  </si>
  <si>
    <t>ORD-1597</t>
  </si>
  <si>
    <t>ORD-1499</t>
  </si>
  <si>
    <t>ORD-1525</t>
  </si>
  <si>
    <t>ORD-1084</t>
  </si>
  <si>
    <t>ORD-1250</t>
  </si>
  <si>
    <t>ORD-1291</t>
  </si>
  <si>
    <t>ORD-1576</t>
  </si>
  <si>
    <t>ORD-1055</t>
  </si>
  <si>
    <t>ORD-1167</t>
  </si>
  <si>
    <t>ORD-1503</t>
  </si>
  <si>
    <t>ORD-1284</t>
  </si>
  <si>
    <t>ORD-1475</t>
  </si>
  <si>
    <t>ORD-1363</t>
  </si>
  <si>
    <t>ORD-1564</t>
  </si>
  <si>
    <t>ORD-1393</t>
  </si>
  <si>
    <t>ORD-1403</t>
  </si>
  <si>
    <t>ORD-1210</t>
  </si>
  <si>
    <t>ORD-1098</t>
  </si>
  <si>
    <t>ORD-1019</t>
  </si>
  <si>
    <t>ORD-1028</t>
  </si>
  <si>
    <t>ORD-1095</t>
  </si>
  <si>
    <t>ORD-1135</t>
  </si>
  <si>
    <t>ORD-1053</t>
  </si>
  <si>
    <t>ORD-1260</t>
  </si>
  <si>
    <t>ORD-1437</t>
  </si>
  <si>
    <t>ORD-1242</t>
  </si>
  <si>
    <t>ORD-1171</t>
  </si>
  <si>
    <t>ORD-1339</t>
  </si>
  <si>
    <t>ORD-1238</t>
  </si>
  <si>
    <t>ORD-1290</t>
  </si>
  <si>
    <t>ORD-1001</t>
  </si>
  <si>
    <t>ORD-1460</t>
  </si>
  <si>
    <t>ORD-1420</t>
  </si>
  <si>
    <t>ORD-1074</t>
  </si>
  <si>
    <t>ORD-1245</t>
  </si>
  <si>
    <t>ORD-1139</t>
  </si>
  <si>
    <t>ORD-1389</t>
  </si>
  <si>
    <t>ORD-1422</t>
  </si>
  <si>
    <t>ORD-1557</t>
  </si>
  <si>
    <t>ORD-1376</t>
  </si>
  <si>
    <t>ORD-1481</t>
  </si>
  <si>
    <t>ORD-1540</t>
  </si>
  <si>
    <t>ORD-1131</t>
  </si>
  <si>
    <t>ORD-1180</t>
  </si>
  <si>
    <t>ORD-1062</t>
  </si>
  <si>
    <t>ORD-1121</t>
  </si>
  <si>
    <t>ORD-1013</t>
  </si>
  <si>
    <t>ORD-1251</t>
  </si>
  <si>
    <t>ORD-1358</t>
  </si>
  <si>
    <t>ORD-1558</t>
  </si>
  <si>
    <t>ORD-1037</t>
  </si>
  <si>
    <t>ORD-1312</t>
  </si>
  <si>
    <t>ORD-1419</t>
  </si>
  <si>
    <t>Total Sales</t>
  </si>
  <si>
    <t>Profit</t>
  </si>
  <si>
    <t>README - Sales Performance Analytics</t>
  </si>
  <si>
    <t>Project</t>
  </si>
  <si>
    <t>Sales Performance Analytics</t>
  </si>
  <si>
    <t>USD</t>
  </si>
  <si>
    <t>File</t>
  </si>
  <si>
    <t>1. Project Title &amp; Description</t>
  </si>
  <si>
    <t>Field</t>
  </si>
  <si>
    <t>Value</t>
  </si>
  <si>
    <t>Description</t>
  </si>
  <si>
    <t>Retail sales analysis 2025 from 3 relational tables (Products, Sales Reps, Orders) to identify the most profitable products &amp; regions, sales performance against target, and sales trends over the year.</t>
  </si>
  <si>
    <t>Created by</t>
  </si>
  <si>
    <t>Date</t>
  </si>
  <si>
    <t>Data period</t>
  </si>
  <si>
    <t>January – December 2025</t>
  </si>
  <si>
    <t>2. Data Source</t>
  </si>
  <si>
    <t>Source</t>
  </si>
  <si>
    <r>
      <t>Simulated (dummy) data generated with Python (</t>
    </r>
    <r>
      <rPr>
        <sz val="10"/>
        <color theme="1"/>
        <rFont val="Arial Unicode MS"/>
      </rPr>
      <t>generate_data.py</t>
    </r>
    <r>
      <rPr>
        <sz val="11"/>
        <color theme="1"/>
        <rFont val="Calibri"/>
        <family val="2"/>
        <scheme val="minor"/>
      </rPr>
      <t>)</t>
    </r>
  </si>
  <si>
    <t>Records</t>
  </si>
  <si>
    <t>600 transactions, 10 products, 5 sales reps</t>
  </si>
  <si>
    <t>Currency</t>
  </si>
  <si>
    <r>
      <t>sales.xlsx</t>
    </r>
    <r>
      <rPr>
        <sz val="11"/>
        <color theme="1"/>
        <rFont val="Calibri"/>
        <family val="2"/>
        <scheme val="minor"/>
      </rPr>
      <t xml:space="preserve"> (sheets: Products, Sales Reps, Orders, Analysis, Pivot, README)</t>
    </r>
  </si>
  <si>
    <t>3. Data Dictionary (Column Definitions)</t>
  </si>
  <si>
    <t>Column</t>
  </si>
  <si>
    <t>Definition</t>
  </si>
  <si>
    <t>Unique product code (e.g. P-01)</t>
  </si>
  <si>
    <t>Product name</t>
  </si>
  <si>
    <t>Product category (Electronics, Home &amp; Living, Fashion)</t>
  </si>
  <si>
    <t>Selling price per unit (USD)</t>
  </si>
  <si>
    <t>Cost price per unit (USD)</t>
  </si>
  <si>
    <t>Products table</t>
  </si>
  <si>
    <t>Sales Reps table</t>
  </si>
  <si>
    <t>Unique sales rep code (e.g. R-01)</t>
  </si>
  <si>
    <t>Sales rep name</t>
  </si>
  <si>
    <t>Assigned region</t>
  </si>
  <si>
    <t>Start date</t>
  </si>
  <si>
    <t>Monthly sales target (USD)</t>
  </si>
  <si>
    <t>Orders table (fact table)</t>
  </si>
  <si>
    <t>Unique transaction code (e.g. ORD-1001)</t>
  </si>
  <si>
    <t>Transaction date</t>
  </si>
  <si>
    <t>References the Sales Reps table</t>
  </si>
  <si>
    <t>References the Products table</t>
  </si>
  <si>
    <t>Units sold</t>
  </si>
  <si>
    <t>Derived columns (in the Analysis sheet)</t>
  </si>
  <si>
    <t>Formula</t>
  </si>
  <si>
    <t>Quantity × Unit Price</t>
  </si>
  <si>
    <t>Quantity × (Unit Price − Unit Cost)</t>
  </si>
  <si>
    <t>KPI</t>
  </si>
  <si>
    <t>Formula / Definition</t>
  </si>
  <si>
    <t>Total revenue</t>
  </si>
  <si>
    <t>Total Profit</t>
  </si>
  <si>
    <t>Total profit</t>
  </si>
  <si>
    <t>Profit Margin</t>
  </si>
  <si>
    <t>Total Profit ÷ Total Sales</t>
  </si>
  <si>
    <t>Transactions</t>
  </si>
  <si>
    <t>Number of unique Order IDs</t>
  </si>
  <si>
    <t>Avg Order Value (AOV)</t>
  </si>
  <si>
    <t>Total Sales ÷ Transactions</t>
  </si>
  <si>
    <t>4. KPI Definitions</t>
  </si>
  <si>
    <t>5. Table Relationships</t>
  </si>
  <si>
    <t>Grand Total</t>
  </si>
  <si>
    <t>Sum of Total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</si>
  <si>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</si>
  <si>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</si>
  <si>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</si>
  <si>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</si>
  <si>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</si>
  <si>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</si>
  <si>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</si>
  <si>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</si>
  <si>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</si>
  <si>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</si>
  <si>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</si>
  <si>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</si>
  <si>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</si>
  <si>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</si>
  <si>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Sales by Rep</t>
  </si>
  <si>
    <t>Profit by Category</t>
  </si>
  <si>
    <t>Monthly Sales Trend</t>
  </si>
  <si>
    <t>Sales by Region</t>
  </si>
  <si>
    <t>Categories</t>
  </si>
  <si>
    <t>% of Total Sales</t>
  </si>
  <si>
    <t xml:space="preserve"> Region x Category Matrix</t>
  </si>
  <si>
    <t>Rafiq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</si>
</sst>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yyyy\-mm\-dd"/>
    <numFmt numFmtId="165" formatCode="&quot;$&quot;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35"/>
      <color rgb="FFEB5757"/>
      <name val="Consolas"/>
      <family val="3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0" fillId="0" borderId="0" xfId="0" applyAlignment="1"/>
    <xf numFmtId="0" fontId="7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4" fontId="0" fillId="0" borderId="0" xfId="0" applyNumberFormat="1"/>
    <xf numFmtId="4" fontId="0" fillId="0" borderId="0" xfId="0" pivotButton="1" applyNumberFormat="1"/>
    <xf numFmtId="4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42" fontId="0" fillId="0" borderId="0" xfId="0" applyNumberFormat="1" applyFont="1"/>
    <xf numFmtId="42" fontId="0" fillId="0" borderId="0" xfId="0" applyNumberFormat="1"/>
    <xf numFmtId="42" fontId="1" fillId="0" borderId="0" xfId="0" applyNumberFormat="1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9">
    <dxf>
      <numFmt numFmtId="32" formatCode="_(&quot;$&quot;* #,##0_);_(&quot;$&quot;* \(#,##0\);_(&quot;$&quot;* &quot;-&quot;_);_(@_)"/>
    </dxf>
    <dxf>
      <numFmt numFmtId="34" formatCode="_(&quot;$&quot;* #,##0.00_);_(&quot;$&quot;* \(#,##0.00\);_(&quot;$&quot;* &quot;-&quot;??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4" formatCode="#,##0.00"/>
    </dxf>
    <dxf>
      <numFmt numFmtId="4" formatCode="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alignment horizontal="center"/>
    </dxf>
    <dxf>
      <numFmt numFmtId="32" formatCode="_(&quot;$&quot;* #,##0_);_(&quot;$&quot;* \(#,##0\);_(&quot;$&quot;* &quot;-&quot;_);_(@_)"/>
    </dxf>
    <dxf>
      <numFmt numFmtId="165" formatCode="&quot;$&quot;#,##0.00"/>
    </dxf>
    <dxf>
      <numFmt numFmtId="32" formatCode="_(&quot;$&quot;* #,##0_);_(&quot;$&quot;* \(#,##0\);_(&quot;$&quot;* &quot;-&quot;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2" formatCode="_(&quot;$&quot;* #,##0_);_(&quot;$&quot;* \(#,##0\);_(&quot;$&quot;* &quot;-&quot;_);_(@_)"/>
    </dxf>
    <dxf>
      <numFmt numFmtId="34" formatCode="_(&quot;$&quot;* #,##0.00_);_(&quot;$&quot;* \(#,##0.00\);_(&quot;$&quot;* &quot;-&quot;??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Pivot!$B$5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Pivot!$A$6:$A$11</c:f>
              <c:strCache>
                <c:ptCount val="5"/>
                <c:pt idx="0">
                  <c:v>Emma</c:v>
                </c:pt>
                <c:pt idx="1">
                  <c:v>Mike</c:v>
                </c:pt>
                <c:pt idx="2">
                  <c:v>Sarah</c:v>
                </c:pt>
                <c:pt idx="3">
                  <c:v>John</c:v>
                </c:pt>
                <c:pt idx="4">
                  <c:v>David</c:v>
                </c:pt>
              </c:strCache>
            </c:strRef>
          </c:cat>
          <c:val>
            <c:numRef>
              <c:f>Pivot!$B$6:$B$11</c:f>
              <c:numCache>
                <c:formatCode>_("$"* #,##0_);_("$"* \(#,##0\);_("$"* "-"_);_(@_)</c:formatCode>
                <c:ptCount val="5"/>
                <c:pt idx="0">
                  <c:v>32490</c:v>
                </c:pt>
                <c:pt idx="1">
                  <c:v>31060</c:v>
                </c:pt>
                <c:pt idx="2">
                  <c:v>30250</c:v>
                </c:pt>
                <c:pt idx="3">
                  <c:v>30025</c:v>
                </c:pt>
                <c:pt idx="4">
                  <c:v>27775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0-432C-879A-7E1680FF81FE}"/>
            </c:ext>
          </c:extLst>
        </c:ser>
        <c:ser>
          <c:idx val="1"/>
          <c:order val="1"/>
          <c:tx>
            <c:strRef>
              <c:f>Pivot!$C$5</c:f>
              <c:strCache>
                <c:ptCount val="1"/>
                <c:pt idx="0">
                  <c:v>%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Pivot!$A$6:$A$11</c:f>
              <c:strCache>
                <c:ptCount val="5"/>
                <c:pt idx="0">
                  <c:v>Emma</c:v>
                </c:pt>
                <c:pt idx="1">
                  <c:v>Mike</c:v>
                </c:pt>
                <c:pt idx="2">
                  <c:v>Sarah</c:v>
                </c:pt>
                <c:pt idx="3">
                  <c:v>John</c:v>
                </c:pt>
                <c:pt idx="4">
                  <c:v>David</c:v>
                </c:pt>
              </c:strCache>
            </c:strRef>
          </c:cat>
          <c:val>
            <c:numRef>
              <c:f>Pivot!$C$6:$C$11</c:f>
              <c:numCache>
                <c:formatCode>0.00%</c:formatCode>
                <c:ptCount val="5"/>
                <c:pt idx="0">
                  <c:v>0.21431398416886543</c:v>
                </c:pt>
                <c:pt idx="1">
                  <c:v>0.20488126649076518</c:v>
                </c:pt>
                <c:pt idx="2">
                  <c:v>0.19953825857519789</c:v>
                </c:pt>
                <c:pt idx="3">
                  <c:v>0.19805408970976254</c:v>
                </c:pt>
                <c:pt idx="4">
                  <c:v>0.18321240105540898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0-432C-879A-7E1680FF8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8627056"/>
        <c:axId val="2048611248"/>
      </c:barChart>
      <c:catAx>
        <c:axId val="204862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11248"/>
        <c:crosses val="autoZero"/>
        <c:auto val="1"/>
        <c:lblAlgn val="ctr"/>
        <c:lblOffset val="100"/>
        <c:noMultiLvlLbl val="0"/>
      </c:catAx>
      <c:valAx>
        <c:axId val="204861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27056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F0-4ACA-AB7A-978143BE79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3F0-4ACA-AB7A-978143BE79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F0-4ACA-AB7A-978143BE797E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D3F0-4ACA-AB7A-978143BE797E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3F0-4ACA-AB7A-978143BE797E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3F0-4ACA-AB7A-978143BE7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Pivot!$A$22:$A$25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Living</c:v>
                </c:pt>
              </c:strCache>
            </c:strRef>
          </c:cat>
          <c:val>
            <c:numRef>
              <c:f>Pivot!$B$22:$B$25</c:f>
              <c:numCache>
                <c:formatCode>_("$"* #,##0_);_("$"* \(#,##0\);_("$"* "-"_);_(@_)</c:formatCode>
                <c:ptCount val="3"/>
                <c:pt idx="0">
                  <c:v>28625</c:v>
                </c:pt>
                <c:pt idx="1">
                  <c:v>23041</c:v>
                </c:pt>
                <c:pt idx="2">
                  <c:v>16870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0-4ACA-AB7A-978143BE7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42592592592592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96296296296296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7314814814814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236111111111111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66666666666666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Pivot!$B$36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402-4A15-A9F1-3F412E1D297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402-4A15-A9F1-3F412E1D297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402-4A15-A9F1-3F412E1D297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402-4A15-A9F1-3F412E1D297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402-4A15-A9F1-3F412E1D297A}"/>
              </c:ext>
            </c:extLst>
          </c:dPt>
          <c:dLbls>
            <c:dLbl>
              <c:idx val="0"/>
              <c:layout>
                <c:manualLayout>
                  <c:x val="0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02-4A15-A9F1-3F412E1D297A}"/>
                </c:ext>
              </c:extLst>
            </c:dLbl>
            <c:dLbl>
              <c:idx val="1"/>
              <c:layout>
                <c:manualLayout>
                  <c:x val="2.7777777777777779E-3"/>
                  <c:y val="-0.296296296296296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02-4A15-A9F1-3F412E1D297A}"/>
                </c:ext>
              </c:extLst>
            </c:dLbl>
            <c:dLbl>
              <c:idx val="2"/>
              <c:layout>
                <c:manualLayout>
                  <c:x val="0"/>
                  <c:y val="-0.2731481481481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02-4A15-A9F1-3F412E1D297A}"/>
                </c:ext>
              </c:extLst>
            </c:dLbl>
            <c:dLbl>
              <c:idx val="3"/>
              <c:layout>
                <c:manualLayout>
                  <c:x val="-1.0185067526415994E-16"/>
                  <c:y val="-0.236111111111111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02-4A15-A9F1-3F412E1D297A}"/>
                </c:ext>
              </c:extLst>
            </c:dLbl>
            <c:dLbl>
              <c:idx val="4"/>
              <c:layout>
                <c:manualLayout>
                  <c:x val="0"/>
                  <c:y val="-0.16666666666666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02-4A15-A9F1-3F412E1D29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Pivot!$A$37:$A$42</c:f>
              <c:strCache>
                <c:ptCount val="5"/>
                <c:pt idx="0">
                  <c:v>Miami</c:v>
                </c:pt>
                <c:pt idx="1">
                  <c:v>Los Angeles</c:v>
                </c:pt>
                <c:pt idx="2">
                  <c:v>Chicago</c:v>
                </c:pt>
                <c:pt idx="3">
                  <c:v>New York</c:v>
                </c:pt>
                <c:pt idx="4">
                  <c:v>Houston</c:v>
                </c:pt>
              </c:strCache>
            </c:strRef>
          </c:cat>
          <c:val>
            <c:numRef>
              <c:f>Pivot!$B$37:$B$42</c:f>
              <c:numCache>
                <c:formatCode>_("$"* #,##0_);_("$"* \(#,##0\);_("$"* "-"_);_(@_)</c:formatCode>
                <c:ptCount val="5"/>
                <c:pt idx="0">
                  <c:v>32490</c:v>
                </c:pt>
                <c:pt idx="1">
                  <c:v>31060</c:v>
                </c:pt>
                <c:pt idx="2">
                  <c:v>30250</c:v>
                </c:pt>
                <c:pt idx="3">
                  <c:v>30025</c:v>
                </c:pt>
                <c:pt idx="4">
                  <c:v>27775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2-4A15-A9F1-3F412E1D297A}"/>
            </c:ext>
          </c:extLst>
        </c:ser>
        <c:ser>
          <c:idx val="1"/>
          <c:order val="1"/>
          <c:tx>
            <c:strRef>
              <c:f>Pivot!$C$36</c:f>
              <c:strCache>
                <c:ptCount val="1"/>
                <c:pt idx="0">
                  <c:v>%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Pivot!$A$37:$A$42</c:f>
              <c:strCache>
                <c:ptCount val="5"/>
                <c:pt idx="0">
                  <c:v>Miami</c:v>
                </c:pt>
                <c:pt idx="1">
                  <c:v>Los Angeles</c:v>
                </c:pt>
                <c:pt idx="2">
                  <c:v>Chicago</c:v>
                </c:pt>
                <c:pt idx="3">
                  <c:v>New York</c:v>
                </c:pt>
                <c:pt idx="4">
                  <c:v>Houston</c:v>
                </c:pt>
              </c:strCache>
            </c:strRef>
          </c:cat>
          <c:val>
            <c:numRef>
              <c:f>Pivot!$C$37:$C$42</c:f>
              <c:numCache>
                <c:formatCode>0.00%</c:formatCode>
                <c:ptCount val="5"/>
                <c:pt idx="0">
                  <c:v>0.21431398416886543</c:v>
                </c:pt>
                <c:pt idx="1">
                  <c:v>0.20488126649076518</c:v>
                </c:pt>
                <c:pt idx="2">
                  <c:v>0.19953825857519789</c:v>
                </c:pt>
                <c:pt idx="3">
                  <c:v>0.19805408970976254</c:v>
                </c:pt>
                <c:pt idx="4">
                  <c:v>0.18321240105540898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2-4A15-A9F1-3F412E1D2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78528"/>
        <c:axId val="9465216"/>
      </c:barChart>
      <c:catAx>
        <c:axId val="9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216"/>
        <c:crosses val="autoZero"/>
        <c:auto val="1"/>
        <c:lblAlgn val="ctr"/>
        <c:lblOffset val="100"/>
        <c:noMultiLvlLbl val="0"/>
      </c:catAx>
      <c:valAx>
        <c:axId val="94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Pivot!$A$52:$A$64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Pivot!$B$52:$B$64</c:f>
              <c:numCache>
                <c:formatCode>_("$"* #,##0_);_("$"* \(#,##0\);_("$"* "-"_);_(@_)</c:formatCode>
                <c:ptCount val="12"/>
                <c:pt idx="0">
                  <c:v>7345</c:v>
                </c:pt>
                <c:pt idx="1">
                  <c:v>14320</c:v>
                </c:pt>
                <c:pt idx="2">
                  <c:v>7375</c:v>
                </c:pt>
                <c:pt idx="3">
                  <c:v>16745</c:v>
                </c:pt>
                <c:pt idx="4">
                  <c:v>15850</c:v>
                </c:pt>
                <c:pt idx="5">
                  <c:v>15200</c:v>
                </c:pt>
                <c:pt idx="6">
                  <c:v>11640</c:v>
                </c:pt>
                <c:pt idx="7">
                  <c:v>16445</c:v>
                </c:pt>
                <c:pt idx="8">
                  <c:v>12460</c:v>
                </c:pt>
                <c:pt idx="9">
                  <c:v>10720</c:v>
                </c:pt>
                <c:pt idx="10">
                  <c:v>10845</c:v>
                </c:pt>
                <c:pt idx="11">
                  <c:v>12655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4-4AF1-80C0-85E609D0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620816"/>
        <c:axId val="2048625392"/>
      </c:lineChart>
      <c:catAx>
        <c:axId val="20486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25392"/>
        <c:crosses val="autoZero"/>
        <c:auto val="1"/>
        <c:lblAlgn val="ctr"/>
        <c:lblOffset val="100"/>
        <c:noMultiLvlLbl val="0"/>
      </c:catAx>
      <c:valAx>
        <c:axId val="20486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x Category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Pivot!$B$68:$B$69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Pivot!$A$70:$A$75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</c:strCache>
            </c:strRef>
          </c:cat>
          <c:val>
            <c:numRef>
              <c:f>Pivot!$B$70:$B$75</c:f>
              <c:numCache>
                <c:formatCode>_("$"* #,##0_);_("$"* \(#,##0\);_("$"* "-"_);_(@_)</c:formatCode>
                <c:ptCount val="5"/>
                <c:pt idx="0">
                  <c:v>12855</c:v>
                </c:pt>
                <c:pt idx="1">
                  <c:v>13860</c:v>
                </c:pt>
                <c:pt idx="2">
                  <c:v>12545</c:v>
                </c:pt>
                <c:pt idx="3">
                  <c:v>14520</c:v>
                </c:pt>
                <c:pt idx="4">
                  <c:v>12880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5-45F5-9A0A-8E9955AF9911}"/>
            </c:ext>
          </c:extLst>
        </c:ser>
        <c:ser>
          <c:idx val="1"/>
          <c:order val="1"/>
          <c:tx>
            <c:strRef>
              <c:f>Pivot!$C$68:$C$69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Pivot!$A$70:$A$75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</c:strCache>
            </c:strRef>
          </c:cat>
          <c:val>
            <c:numRef>
              <c:f>Pivot!$C$70:$C$75</c:f>
              <c:numCache>
                <c:formatCode>_("$"* #,##0_);_("$"* \(#,##0\);_("$"* "-"_);_(@_)</c:formatCode>
                <c:ptCount val="5"/>
                <c:pt idx="0">
                  <c:v>8655</c:v>
                </c:pt>
                <c:pt idx="1">
                  <c:v>8100</c:v>
                </c:pt>
                <c:pt idx="2">
                  <c:v>10860</c:v>
                </c:pt>
                <c:pt idx="3">
                  <c:v>9780</c:v>
                </c:pt>
                <c:pt idx="4">
                  <c:v>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5-45F5-9A0A-8E9955AF9911}"/>
            </c:ext>
          </c:extLst>
        </c:ser>
        <c:ser>
          <c:idx val="2"/>
          <c:order val="2"/>
          <c:tx>
            <c:strRef>
              <c:f>Pivot!$D$68:$D$69</c:f>
              <c:strCache>
                <c:ptCount val="1"/>
                <c:pt idx="0">
                  <c:v>Home &amp; Living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Pivot!$A$70:$A$75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</c:strCache>
            </c:strRef>
          </c:cat>
          <c:val>
            <c:numRef>
              <c:f>Pivot!$D$70:$D$75</c:f>
              <c:numCache>
                <c:formatCode>_("$"* #,##0_);_("$"* \(#,##0\);_("$"* "-"_);_(@_)</c:formatCode>
                <c:ptCount val="5"/>
                <c:pt idx="0">
                  <c:v>8740</c:v>
                </c:pt>
                <c:pt idx="1">
                  <c:v>5815</c:v>
                </c:pt>
                <c:pt idx="2">
                  <c:v>7655</c:v>
                </c:pt>
                <c:pt idx="3">
                  <c:v>8190</c:v>
                </c:pt>
                <c:pt idx="4">
                  <c:v>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5-45F5-9A0A-8E9955AF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8623312"/>
        <c:axId val="2048617072"/>
      </c:barChart>
      <c:catAx>
        <c:axId val="20486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17072"/>
        <c:crosses val="autoZero"/>
        <c:auto val="1"/>
        <c:lblAlgn val="ctr"/>
        <c:lblOffset val="100"/>
        <c:noMultiLvlLbl val="0"/>
      </c:catAx>
      <c:valAx>
        <c:axId val="20486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55</xdr:row>
      <xdr:rowOff>9525</xdr:rowOff>
    </xdr:from>
    <xdr:to>
      <xdr:col>1</xdr:col>
      <xdr:colOff>2048315</xdr:colOff>
      <xdr:row>58</xdr:row>
      <xdr:rowOff>162026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DB8CE-DE23-4956-A59D-84D583362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10868025"/>
          <a:ext cx="3153215" cy="724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0</xdr:row>
      <xdr:rowOff>176212</xdr:rowOff>
    </xdr:from>
    <xdr:to>
      <xdr:col>6</xdr:col>
      <xdr:colOff>1195387</xdr:colOff>
      <xdr:row>15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A25BF8-CF69-433F-BC38-23E90B306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157162</xdr:colOff>
      <xdr:row>17</xdr:row>
      <xdr:rowOff>14287</xdr:rowOff>
    </xdr:from>
    <xdr:to>
      <xdr:col>6</xdr:col>
      <xdr:colOff>1204912</xdr:colOff>
      <xdr:row>31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6980B8-8848-4068-A6BF-2122EF15D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33</xdr:row>
      <xdr:rowOff>71437</xdr:rowOff>
    </xdr:from>
    <xdr:to>
      <xdr:col>6</xdr:col>
      <xdr:colOff>1162050</xdr:colOff>
      <xdr:row>47</xdr:row>
      <xdr:rowOff>147637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06F0C9-9161-4AAB-B014-AB5789DAA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214312</xdr:colOff>
      <xdr:row>49</xdr:row>
      <xdr:rowOff>90487</xdr:rowOff>
    </xdr:from>
    <xdr:to>
      <xdr:col>6</xdr:col>
      <xdr:colOff>42862</xdr:colOff>
      <xdr:row>63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BA4929-940E-4FAB-B619-C9EE3B6F8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114300</xdr:colOff>
      <xdr:row>66</xdr:row>
      <xdr:rowOff>4762</xdr:rowOff>
    </xdr:from>
    <xdr:to>
      <xdr:col>7</xdr:col>
      <xdr:colOff>1304925</xdr:colOff>
      <xdr:row>80</xdr:row>
      <xdr:rowOff>80962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F3B5BC-A7C5-4838-8811-8E440E6AA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" refreshedDate="46184.364528240738" createdVersion="7" refreshedVersion="7" minRefreshableVersion="3" recordCount="600" xr:uid="{B0FE464F-9B9F-4E8F-99CF-448DAADF2716}">
  <cacheSource type="worksheet">
    <worksheetSource name="tblAnalysis"/>
  </cacheSource>
  <cacheFields count="14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6-01-01T00:00:00" count="292">
        <d v="2025-01-01T00:00:00"/>
        <d v="2025-01-02T00:00:00"/>
        <d v="2025-01-04T00:00:00"/>
        <d v="2025-01-05T00:00:00"/>
        <d v="2025-01-06T00:00:00"/>
        <d v="2025-01-09T00:00:00"/>
        <d v="2025-01-10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2-02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6T00:00:00"/>
        <d v="2025-02-27T00:00:00"/>
        <d v="2025-02-28T00:00:00"/>
        <d v="2025-03-01T00:00:00"/>
        <d v="2025-03-03T00:00:00"/>
        <d v="2025-03-04T00:00:00"/>
        <d v="2025-03-06T00:00:00"/>
        <d v="2025-03-07T00:00:00"/>
        <d v="2025-03-09T00:00:00"/>
        <d v="2025-03-10T00:00:00"/>
        <d v="2025-03-13T00:00:00"/>
        <d v="2025-03-16T00:00:00"/>
        <d v="2025-03-17T00:00:00"/>
        <d v="2025-03-22T00:00:00"/>
        <d v="2025-03-25T00:00:00"/>
        <d v="2025-03-27T00:00:00"/>
        <d v="2025-03-29T00:00:00"/>
        <d v="2025-03-30T00:00:00"/>
        <d v="2025-03-3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30T00:00:00"/>
        <d v="2025-05-31T00:00:00"/>
        <d v="2025-06-01T00:00:00"/>
        <d v="2025-06-02T00:00:00"/>
        <d v="2025-06-03T00:00:00"/>
        <d v="2025-06-04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3T00:00:00"/>
        <d v="2025-07-14T00:00:00"/>
        <d v="2025-07-15T00:00:00"/>
        <d v="2025-07-17T00:00:00"/>
        <d v="2025-07-18T00:00:00"/>
        <d v="2025-07-20T00:00:00"/>
        <d v="2025-07-21T00:00:00"/>
        <d v="2025-07-22T00:00:00"/>
        <d v="2025-07-23T00:00:00"/>
        <d v="2025-07-25T00:00:00"/>
        <d v="2025-07-26T00:00:00"/>
        <d v="2025-07-27T00:00:00"/>
        <d v="2025-08-01T00:00:00"/>
        <d v="2025-08-02T00:00:00"/>
        <d v="2025-08-03T00:00:00"/>
        <d v="2025-08-04T00:00:00"/>
        <d v="2025-08-05T00:00:00"/>
        <d v="2025-08-06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7T00:00:00"/>
        <d v="2025-08-18T00:00:00"/>
        <d v="2025-08-19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3T00:00:00"/>
        <d v="2025-09-04T00:00:00"/>
        <d v="2025-09-06T00:00:00"/>
        <d v="2025-09-07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10T00:00:00"/>
        <d v="2025-10-11T00:00:00"/>
        <d v="2025-10-12T00:00:00"/>
        <d v="2025-10-13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5T00:00:00"/>
        <d v="2025-10-26T00:00:00"/>
        <d v="2025-10-28T00:00:00"/>
        <d v="2025-10-29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3T00:00:00"/>
        <d v="2025-12-25T00:00:00"/>
        <d v="2025-12-26T00:00:00"/>
        <d v="2025-12-27T00:00:00"/>
        <d v="2025-12-30T00:00:00"/>
        <d v="2025-12-31T00:00:00"/>
      </sharedItems>
      <fieldGroup par="13"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Rep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10"/>
    </cacheField>
    <cacheField name="Product Name" numFmtId="0">
      <sharedItems/>
    </cacheField>
    <cacheField name="Category" numFmtId="0">
      <sharedItems count="3">
        <s v="Electronics"/>
        <s v="Fashion"/>
        <s v="Home &amp; Living"/>
      </sharedItems>
    </cacheField>
    <cacheField name="Unit Price" numFmtId="165">
      <sharedItems containsSemiMixedTypes="0" containsString="0" containsNumber="1" containsInteger="1" minValue="20" maxValue="75"/>
    </cacheField>
    <cacheField name="Unit Cost" numFmtId="165">
      <sharedItems containsSemiMixedTypes="0" containsString="0" containsNumber="1" containsInteger="1" minValue="8" maxValue="45"/>
    </cacheField>
    <cacheField name="Sales Rep" numFmtId="0">
      <sharedItems count="5">
        <s v="Emma"/>
        <s v="Mike"/>
        <s v="John"/>
        <s v="David"/>
        <s v="Sarah"/>
      </sharedItems>
    </cacheField>
    <cacheField name="Region" numFmtId="0">
      <sharedItems count="5">
        <s v="Miami"/>
        <s v="Los Angeles"/>
        <s v="New York"/>
        <s v="Houston"/>
        <s v="Chicago"/>
      </sharedItems>
    </cacheField>
    <cacheField name="Total Sales" numFmtId="165">
      <sharedItems containsSemiMixedTypes="0" containsString="0" containsNumber="1" containsInteger="1" minValue="20" maxValue="750"/>
    </cacheField>
    <cacheField name="Profit" numFmtId="165">
      <sharedItems containsSemiMixedTypes="0" containsString="0" containsNumber="1" containsInteger="1" minValue="12" maxValue="350"/>
    </cacheField>
    <cacheField name="Months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ORD-1446"/>
    <x v="0"/>
    <s v="R-05"/>
    <s v="P-03"/>
    <n v="9"/>
    <s v="Keyboard"/>
    <x v="0"/>
    <n v="40"/>
    <n v="22"/>
    <x v="0"/>
    <x v="0"/>
    <n v="360"/>
    <n v="162"/>
  </r>
  <r>
    <s v="ORD-1063"/>
    <x v="1"/>
    <s v="R-05"/>
    <s v="P-02"/>
    <n v="3"/>
    <s v="Mouse"/>
    <x v="0"/>
    <n v="25"/>
    <n v="12"/>
    <x v="0"/>
    <x v="0"/>
    <n v="75"/>
    <n v="39"/>
  </r>
  <r>
    <s v="ORD-1263"/>
    <x v="1"/>
    <s v="R-05"/>
    <s v="P-10"/>
    <n v="2"/>
    <s v="Shoes"/>
    <x v="1"/>
    <n v="75"/>
    <n v="40"/>
    <x v="0"/>
    <x v="0"/>
    <n v="150"/>
    <n v="70"/>
  </r>
  <r>
    <s v="ORD-1206"/>
    <x v="1"/>
    <s v="R-02"/>
    <s v="P-08"/>
    <n v="7"/>
    <s v="T-Shirt"/>
    <x v="1"/>
    <n v="20"/>
    <n v="8"/>
    <x v="1"/>
    <x v="1"/>
    <n v="140"/>
    <n v="84"/>
  </r>
  <r>
    <s v="ORD-1496"/>
    <x v="2"/>
    <s v="R-01"/>
    <s v="P-06"/>
    <n v="9"/>
    <s v="Iron"/>
    <x v="2"/>
    <n v="35"/>
    <n v="20"/>
    <x v="2"/>
    <x v="2"/>
    <n v="315"/>
    <n v="135"/>
  </r>
  <r>
    <s v="ORD-1325"/>
    <x v="2"/>
    <s v="R-04"/>
    <s v="P-07"/>
    <n v="1"/>
    <s v="Fan"/>
    <x v="2"/>
    <n v="45"/>
    <n v="25"/>
    <x v="3"/>
    <x v="3"/>
    <n v="45"/>
    <n v="20"/>
  </r>
  <r>
    <s v="ORD-1128"/>
    <x v="3"/>
    <s v="R-03"/>
    <s v="P-06"/>
    <n v="1"/>
    <s v="Iron"/>
    <x v="2"/>
    <n v="35"/>
    <n v="20"/>
    <x v="4"/>
    <x v="4"/>
    <n v="35"/>
    <n v="15"/>
  </r>
  <r>
    <s v="ORD-1415"/>
    <x v="3"/>
    <s v="R-05"/>
    <s v="P-04"/>
    <n v="10"/>
    <s v="Webcam"/>
    <x v="0"/>
    <n v="60"/>
    <n v="35"/>
    <x v="0"/>
    <x v="0"/>
    <n v="600"/>
    <n v="250"/>
  </r>
  <r>
    <s v="ORD-1334"/>
    <x v="4"/>
    <s v="R-03"/>
    <s v="P-09"/>
    <n v="5"/>
    <s v="Pants"/>
    <x v="1"/>
    <n v="40"/>
    <n v="18"/>
    <x v="4"/>
    <x v="4"/>
    <n v="200"/>
    <n v="110"/>
  </r>
  <r>
    <s v="ORD-1097"/>
    <x v="5"/>
    <s v="R-04"/>
    <s v="P-08"/>
    <n v="7"/>
    <s v="T-Shirt"/>
    <x v="1"/>
    <n v="20"/>
    <n v="8"/>
    <x v="3"/>
    <x v="3"/>
    <n v="140"/>
    <n v="84"/>
  </r>
  <r>
    <s v="ORD-1269"/>
    <x v="5"/>
    <s v="R-04"/>
    <s v="P-09"/>
    <n v="10"/>
    <s v="Pants"/>
    <x v="1"/>
    <n v="40"/>
    <n v="18"/>
    <x v="3"/>
    <x v="3"/>
    <n v="400"/>
    <n v="220"/>
  </r>
  <r>
    <s v="ORD-1484"/>
    <x v="6"/>
    <s v="R-05"/>
    <s v="P-03"/>
    <n v="7"/>
    <s v="Keyboard"/>
    <x v="0"/>
    <n v="40"/>
    <n v="22"/>
    <x v="0"/>
    <x v="0"/>
    <n v="280"/>
    <n v="126"/>
  </r>
  <r>
    <s v="ORD-1518"/>
    <x v="7"/>
    <s v="R-05"/>
    <s v="P-02"/>
    <n v="9"/>
    <s v="Mouse"/>
    <x v="0"/>
    <n v="25"/>
    <n v="12"/>
    <x v="0"/>
    <x v="0"/>
    <n v="225"/>
    <n v="117"/>
  </r>
  <r>
    <s v="ORD-1151"/>
    <x v="8"/>
    <s v="R-05"/>
    <s v="P-08"/>
    <n v="5"/>
    <s v="T-Shirt"/>
    <x v="1"/>
    <n v="20"/>
    <n v="8"/>
    <x v="0"/>
    <x v="0"/>
    <n v="100"/>
    <n v="60"/>
  </r>
  <r>
    <s v="ORD-1554"/>
    <x v="8"/>
    <s v="R-05"/>
    <s v="P-06"/>
    <n v="5"/>
    <s v="Iron"/>
    <x v="2"/>
    <n v="35"/>
    <n v="20"/>
    <x v="0"/>
    <x v="0"/>
    <n v="175"/>
    <n v="75"/>
  </r>
  <r>
    <s v="ORD-1378"/>
    <x v="8"/>
    <s v="R-04"/>
    <s v="P-02"/>
    <n v="6"/>
    <s v="Mouse"/>
    <x v="0"/>
    <n v="25"/>
    <n v="12"/>
    <x v="3"/>
    <x v="3"/>
    <n v="150"/>
    <n v="78"/>
  </r>
  <r>
    <s v="ORD-1050"/>
    <x v="9"/>
    <s v="R-04"/>
    <s v="P-05"/>
    <n v="9"/>
    <s v="Blender"/>
    <x v="2"/>
    <n v="50"/>
    <n v="30"/>
    <x v="3"/>
    <x v="3"/>
    <n v="450"/>
    <n v="180"/>
  </r>
  <r>
    <s v="ORD-1134"/>
    <x v="10"/>
    <s v="R-02"/>
    <s v="P-04"/>
    <n v="1"/>
    <s v="Webcam"/>
    <x v="0"/>
    <n v="60"/>
    <n v="35"/>
    <x v="1"/>
    <x v="1"/>
    <n v="60"/>
    <n v="25"/>
  </r>
  <r>
    <s v="ORD-1092"/>
    <x v="10"/>
    <s v="R-01"/>
    <s v="P-05"/>
    <n v="6"/>
    <s v="Blender"/>
    <x v="2"/>
    <n v="50"/>
    <n v="30"/>
    <x v="2"/>
    <x v="2"/>
    <n v="300"/>
    <n v="120"/>
  </r>
  <r>
    <s v="ORD-1497"/>
    <x v="11"/>
    <s v="R-04"/>
    <s v="P-01"/>
    <n v="2"/>
    <s v="Headset"/>
    <x v="0"/>
    <n v="75"/>
    <n v="45"/>
    <x v="3"/>
    <x v="3"/>
    <n v="150"/>
    <n v="60"/>
  </r>
  <r>
    <s v="ORD-1329"/>
    <x v="12"/>
    <s v="R-03"/>
    <s v="P-09"/>
    <n v="7"/>
    <s v="Pants"/>
    <x v="1"/>
    <n v="40"/>
    <n v="18"/>
    <x v="4"/>
    <x v="4"/>
    <n v="280"/>
    <n v="154"/>
  </r>
  <r>
    <s v="ORD-1352"/>
    <x v="13"/>
    <s v="R-04"/>
    <s v="P-06"/>
    <n v="9"/>
    <s v="Iron"/>
    <x v="2"/>
    <n v="35"/>
    <n v="20"/>
    <x v="3"/>
    <x v="3"/>
    <n v="315"/>
    <n v="135"/>
  </r>
  <r>
    <s v="ORD-1566"/>
    <x v="14"/>
    <s v="R-03"/>
    <s v="P-09"/>
    <n v="4"/>
    <s v="Pants"/>
    <x v="1"/>
    <n v="40"/>
    <n v="18"/>
    <x v="4"/>
    <x v="4"/>
    <n v="160"/>
    <n v="88"/>
  </r>
  <r>
    <s v="ORD-1383"/>
    <x v="15"/>
    <s v="R-01"/>
    <s v="P-07"/>
    <n v="1"/>
    <s v="Fan"/>
    <x v="2"/>
    <n v="45"/>
    <n v="25"/>
    <x v="2"/>
    <x v="2"/>
    <n v="45"/>
    <n v="20"/>
  </r>
  <r>
    <s v="ORD-1044"/>
    <x v="16"/>
    <s v="R-05"/>
    <s v="P-09"/>
    <n v="1"/>
    <s v="Pants"/>
    <x v="1"/>
    <n v="40"/>
    <n v="18"/>
    <x v="0"/>
    <x v="0"/>
    <n v="40"/>
    <n v="22"/>
  </r>
  <r>
    <s v="ORD-1006"/>
    <x v="16"/>
    <s v="R-04"/>
    <s v="P-01"/>
    <n v="7"/>
    <s v="Headset"/>
    <x v="0"/>
    <n v="75"/>
    <n v="45"/>
    <x v="3"/>
    <x v="3"/>
    <n v="525"/>
    <n v="210"/>
  </r>
  <r>
    <s v="ORD-1025"/>
    <x v="17"/>
    <s v="R-02"/>
    <s v="P-02"/>
    <n v="5"/>
    <s v="Mouse"/>
    <x v="0"/>
    <n v="25"/>
    <n v="12"/>
    <x v="1"/>
    <x v="1"/>
    <n v="125"/>
    <n v="65"/>
  </r>
  <r>
    <s v="ORD-1307"/>
    <x v="17"/>
    <s v="R-03"/>
    <s v="P-06"/>
    <n v="7"/>
    <s v="Iron"/>
    <x v="2"/>
    <n v="35"/>
    <n v="20"/>
    <x v="4"/>
    <x v="4"/>
    <n v="245"/>
    <n v="105"/>
  </r>
  <r>
    <s v="ORD-1482"/>
    <x v="18"/>
    <s v="R-04"/>
    <s v="P-02"/>
    <n v="1"/>
    <s v="Mouse"/>
    <x v="0"/>
    <n v="25"/>
    <n v="12"/>
    <x v="3"/>
    <x v="3"/>
    <n v="25"/>
    <n v="13"/>
  </r>
  <r>
    <s v="ORD-1580"/>
    <x v="19"/>
    <s v="R-05"/>
    <s v="P-03"/>
    <n v="8"/>
    <s v="Keyboard"/>
    <x v="0"/>
    <n v="40"/>
    <n v="22"/>
    <x v="0"/>
    <x v="0"/>
    <n v="320"/>
    <n v="144"/>
  </r>
  <r>
    <s v="ORD-1375"/>
    <x v="20"/>
    <s v="R-03"/>
    <s v="P-07"/>
    <n v="4"/>
    <s v="Fan"/>
    <x v="2"/>
    <n v="45"/>
    <n v="25"/>
    <x v="4"/>
    <x v="4"/>
    <n v="180"/>
    <n v="80"/>
  </r>
  <r>
    <s v="ORD-1316"/>
    <x v="21"/>
    <s v="R-03"/>
    <s v="P-07"/>
    <n v="10"/>
    <s v="Fan"/>
    <x v="2"/>
    <n v="45"/>
    <n v="25"/>
    <x v="4"/>
    <x v="4"/>
    <n v="450"/>
    <n v="200"/>
  </r>
  <r>
    <s v="ORD-1164"/>
    <x v="22"/>
    <s v="R-02"/>
    <s v="P-06"/>
    <n v="2"/>
    <s v="Iron"/>
    <x v="2"/>
    <n v="35"/>
    <n v="20"/>
    <x v="1"/>
    <x v="1"/>
    <n v="70"/>
    <n v="30"/>
  </r>
  <r>
    <s v="ORD-1109"/>
    <x v="22"/>
    <s v="R-02"/>
    <s v="P-06"/>
    <n v="5"/>
    <s v="Iron"/>
    <x v="2"/>
    <n v="35"/>
    <n v="20"/>
    <x v="1"/>
    <x v="1"/>
    <n v="175"/>
    <n v="75"/>
  </r>
  <r>
    <s v="ORD-1149"/>
    <x v="23"/>
    <s v="R-02"/>
    <s v="P-09"/>
    <n v="1"/>
    <s v="Pants"/>
    <x v="1"/>
    <n v="40"/>
    <n v="18"/>
    <x v="1"/>
    <x v="1"/>
    <n v="40"/>
    <n v="22"/>
  </r>
  <r>
    <s v="ORD-1305"/>
    <x v="24"/>
    <s v="R-03"/>
    <s v="P-09"/>
    <n v="9"/>
    <s v="Pants"/>
    <x v="1"/>
    <n v="40"/>
    <n v="18"/>
    <x v="4"/>
    <x v="4"/>
    <n v="360"/>
    <n v="198"/>
  </r>
  <r>
    <s v="ORD-1507"/>
    <x v="24"/>
    <s v="R-04"/>
    <s v="P-01"/>
    <n v="8"/>
    <s v="Headset"/>
    <x v="0"/>
    <n v="75"/>
    <n v="45"/>
    <x v="3"/>
    <x v="3"/>
    <n v="600"/>
    <n v="240"/>
  </r>
  <r>
    <s v="ORD-1114"/>
    <x v="24"/>
    <s v="R-02"/>
    <s v="P-04"/>
    <n v="1"/>
    <s v="Webcam"/>
    <x v="0"/>
    <n v="60"/>
    <n v="35"/>
    <x v="1"/>
    <x v="1"/>
    <n v="60"/>
    <n v="25"/>
  </r>
  <r>
    <s v="ORD-1123"/>
    <x v="25"/>
    <s v="R-05"/>
    <s v="P-03"/>
    <n v="5"/>
    <s v="Keyboard"/>
    <x v="0"/>
    <n v="40"/>
    <n v="22"/>
    <x v="0"/>
    <x v="0"/>
    <n v="200"/>
    <n v="90"/>
  </r>
  <r>
    <s v="ORD-1523"/>
    <x v="25"/>
    <s v="R-04"/>
    <s v="P-05"/>
    <n v="4"/>
    <s v="Blender"/>
    <x v="2"/>
    <n v="50"/>
    <n v="30"/>
    <x v="3"/>
    <x v="3"/>
    <n v="200"/>
    <n v="80"/>
  </r>
  <r>
    <s v="ORD-1326"/>
    <x v="25"/>
    <s v="R-03"/>
    <s v="P-10"/>
    <n v="7"/>
    <s v="Shoes"/>
    <x v="1"/>
    <n v="75"/>
    <n v="40"/>
    <x v="4"/>
    <x v="4"/>
    <n v="525"/>
    <n v="245"/>
  </r>
  <r>
    <s v="ORD-1058"/>
    <x v="25"/>
    <s v="R-02"/>
    <s v="P-03"/>
    <n v="1"/>
    <s v="Keyboard"/>
    <x v="0"/>
    <n v="40"/>
    <n v="22"/>
    <x v="1"/>
    <x v="1"/>
    <n v="40"/>
    <n v="18"/>
  </r>
  <r>
    <s v="ORD-1150"/>
    <x v="26"/>
    <s v="R-04"/>
    <s v="P-04"/>
    <n v="4"/>
    <s v="Webcam"/>
    <x v="0"/>
    <n v="60"/>
    <n v="35"/>
    <x v="3"/>
    <x v="3"/>
    <n v="240"/>
    <n v="100"/>
  </r>
  <r>
    <s v="ORD-1545"/>
    <x v="26"/>
    <s v="R-01"/>
    <s v="P-03"/>
    <n v="7"/>
    <s v="Keyboard"/>
    <x v="0"/>
    <n v="40"/>
    <n v="22"/>
    <x v="2"/>
    <x v="2"/>
    <n v="280"/>
    <n v="126"/>
  </r>
  <r>
    <s v="ORD-1381"/>
    <x v="26"/>
    <s v="R-03"/>
    <s v="P-03"/>
    <n v="10"/>
    <s v="Keyboard"/>
    <x v="0"/>
    <n v="40"/>
    <n v="22"/>
    <x v="4"/>
    <x v="4"/>
    <n v="400"/>
    <n v="180"/>
  </r>
  <r>
    <s v="ORD-1551"/>
    <x v="27"/>
    <s v="R-02"/>
    <s v="P-05"/>
    <n v="4"/>
    <s v="Blender"/>
    <x v="2"/>
    <n v="50"/>
    <n v="30"/>
    <x v="1"/>
    <x v="1"/>
    <n v="200"/>
    <n v="80"/>
  </r>
  <r>
    <s v="ORD-1267"/>
    <x v="27"/>
    <s v="R-05"/>
    <s v="P-01"/>
    <n v="5"/>
    <s v="Headset"/>
    <x v="0"/>
    <n v="75"/>
    <n v="45"/>
    <x v="0"/>
    <x v="0"/>
    <n v="375"/>
    <n v="150"/>
  </r>
  <r>
    <s v="ORD-1337"/>
    <x v="27"/>
    <s v="R-05"/>
    <s v="P-03"/>
    <n v="1"/>
    <s v="Keyboard"/>
    <x v="0"/>
    <n v="40"/>
    <n v="22"/>
    <x v="0"/>
    <x v="0"/>
    <n v="40"/>
    <n v="18"/>
  </r>
  <r>
    <s v="ORD-1310"/>
    <x v="28"/>
    <s v="R-02"/>
    <s v="P-05"/>
    <n v="7"/>
    <s v="Blender"/>
    <x v="2"/>
    <n v="50"/>
    <n v="30"/>
    <x v="1"/>
    <x v="1"/>
    <n v="350"/>
    <n v="140"/>
  </r>
  <r>
    <s v="ORD-1249"/>
    <x v="29"/>
    <s v="R-05"/>
    <s v="P-10"/>
    <n v="10"/>
    <s v="Shoes"/>
    <x v="1"/>
    <n v="75"/>
    <n v="40"/>
    <x v="0"/>
    <x v="0"/>
    <n v="750"/>
    <n v="350"/>
  </r>
  <r>
    <s v="ORD-1476"/>
    <x v="29"/>
    <s v="R-04"/>
    <s v="P-02"/>
    <n v="8"/>
    <s v="Mouse"/>
    <x v="0"/>
    <n v="25"/>
    <n v="12"/>
    <x v="3"/>
    <x v="3"/>
    <n v="200"/>
    <n v="104"/>
  </r>
  <r>
    <s v="ORD-1372"/>
    <x v="29"/>
    <s v="R-03"/>
    <s v="P-02"/>
    <n v="6"/>
    <s v="Mouse"/>
    <x v="0"/>
    <n v="25"/>
    <n v="12"/>
    <x v="4"/>
    <x v="4"/>
    <n v="150"/>
    <n v="78"/>
  </r>
  <r>
    <s v="ORD-1585"/>
    <x v="29"/>
    <s v="R-04"/>
    <s v="P-03"/>
    <n v="10"/>
    <s v="Keyboard"/>
    <x v="0"/>
    <n v="40"/>
    <n v="22"/>
    <x v="3"/>
    <x v="3"/>
    <n v="400"/>
    <n v="180"/>
  </r>
  <r>
    <s v="ORD-1108"/>
    <x v="30"/>
    <s v="R-04"/>
    <s v="P-01"/>
    <n v="1"/>
    <s v="Headset"/>
    <x v="0"/>
    <n v="75"/>
    <n v="45"/>
    <x v="3"/>
    <x v="3"/>
    <n v="75"/>
    <n v="30"/>
  </r>
  <r>
    <s v="ORD-1090"/>
    <x v="30"/>
    <s v="R-02"/>
    <s v="P-08"/>
    <n v="8"/>
    <s v="T-Shirt"/>
    <x v="1"/>
    <n v="20"/>
    <n v="8"/>
    <x v="1"/>
    <x v="1"/>
    <n v="160"/>
    <n v="96"/>
  </r>
  <r>
    <s v="ORD-1588"/>
    <x v="31"/>
    <s v="R-01"/>
    <s v="P-09"/>
    <n v="2"/>
    <s v="Pants"/>
    <x v="1"/>
    <n v="40"/>
    <n v="18"/>
    <x v="2"/>
    <x v="2"/>
    <n v="80"/>
    <n v="44"/>
  </r>
  <r>
    <s v="ORD-1136"/>
    <x v="31"/>
    <s v="R-05"/>
    <s v="P-06"/>
    <n v="9"/>
    <s v="Iron"/>
    <x v="2"/>
    <n v="35"/>
    <n v="20"/>
    <x v="0"/>
    <x v="0"/>
    <n v="315"/>
    <n v="135"/>
  </r>
  <r>
    <s v="ORD-1515"/>
    <x v="32"/>
    <s v="R-04"/>
    <s v="P-02"/>
    <n v="4"/>
    <s v="Mouse"/>
    <x v="0"/>
    <n v="25"/>
    <n v="12"/>
    <x v="3"/>
    <x v="3"/>
    <n v="100"/>
    <n v="52"/>
  </r>
  <r>
    <s v="ORD-1166"/>
    <x v="33"/>
    <s v="R-03"/>
    <s v="P-03"/>
    <n v="6"/>
    <s v="Keyboard"/>
    <x v="0"/>
    <n v="40"/>
    <n v="22"/>
    <x v="4"/>
    <x v="4"/>
    <n v="240"/>
    <n v="108"/>
  </r>
  <r>
    <s v="ORD-1070"/>
    <x v="33"/>
    <s v="R-05"/>
    <s v="P-02"/>
    <n v="10"/>
    <s v="Mouse"/>
    <x v="0"/>
    <n v="25"/>
    <n v="12"/>
    <x v="0"/>
    <x v="0"/>
    <n v="250"/>
    <n v="130"/>
  </r>
  <r>
    <s v="ORD-1516"/>
    <x v="33"/>
    <s v="R-01"/>
    <s v="P-07"/>
    <n v="2"/>
    <s v="Fan"/>
    <x v="2"/>
    <n v="45"/>
    <n v="25"/>
    <x v="2"/>
    <x v="2"/>
    <n v="90"/>
    <n v="40"/>
  </r>
  <r>
    <s v="ORD-1160"/>
    <x v="34"/>
    <s v="R-01"/>
    <s v="P-05"/>
    <n v="9"/>
    <s v="Blender"/>
    <x v="2"/>
    <n v="50"/>
    <n v="30"/>
    <x v="2"/>
    <x v="2"/>
    <n v="450"/>
    <n v="180"/>
  </r>
  <r>
    <s v="ORD-1333"/>
    <x v="35"/>
    <s v="R-05"/>
    <s v="P-04"/>
    <n v="6"/>
    <s v="Webcam"/>
    <x v="0"/>
    <n v="60"/>
    <n v="35"/>
    <x v="0"/>
    <x v="0"/>
    <n v="360"/>
    <n v="150"/>
  </r>
  <r>
    <s v="ORD-1421"/>
    <x v="36"/>
    <s v="R-03"/>
    <s v="P-02"/>
    <n v="9"/>
    <s v="Mouse"/>
    <x v="0"/>
    <n v="25"/>
    <n v="12"/>
    <x v="4"/>
    <x v="4"/>
    <n v="225"/>
    <n v="117"/>
  </r>
  <r>
    <s v="ORD-1470"/>
    <x v="36"/>
    <s v="R-01"/>
    <s v="P-08"/>
    <n v="10"/>
    <s v="T-Shirt"/>
    <x v="1"/>
    <n v="20"/>
    <n v="8"/>
    <x v="2"/>
    <x v="2"/>
    <n v="200"/>
    <n v="120"/>
  </r>
  <r>
    <s v="ORD-1115"/>
    <x v="37"/>
    <s v="R-05"/>
    <s v="P-09"/>
    <n v="1"/>
    <s v="Pants"/>
    <x v="1"/>
    <n v="40"/>
    <n v="18"/>
    <x v="0"/>
    <x v="0"/>
    <n v="40"/>
    <n v="22"/>
  </r>
  <r>
    <s v="ORD-1452"/>
    <x v="37"/>
    <s v="R-02"/>
    <s v="P-06"/>
    <n v="5"/>
    <s v="Iron"/>
    <x v="2"/>
    <n v="35"/>
    <n v="20"/>
    <x v="1"/>
    <x v="1"/>
    <n v="175"/>
    <n v="75"/>
  </r>
  <r>
    <s v="ORD-1328"/>
    <x v="38"/>
    <s v="R-05"/>
    <s v="P-04"/>
    <n v="1"/>
    <s v="Webcam"/>
    <x v="0"/>
    <n v="60"/>
    <n v="35"/>
    <x v="0"/>
    <x v="0"/>
    <n v="60"/>
    <n v="25"/>
  </r>
  <r>
    <s v="ORD-1029"/>
    <x v="38"/>
    <s v="R-05"/>
    <s v="P-06"/>
    <n v="2"/>
    <s v="Iron"/>
    <x v="2"/>
    <n v="35"/>
    <n v="20"/>
    <x v="0"/>
    <x v="0"/>
    <n v="70"/>
    <n v="30"/>
  </r>
  <r>
    <s v="ORD-1061"/>
    <x v="39"/>
    <s v="R-04"/>
    <s v="P-04"/>
    <n v="8"/>
    <s v="Webcam"/>
    <x v="0"/>
    <n v="60"/>
    <n v="35"/>
    <x v="3"/>
    <x v="3"/>
    <n v="480"/>
    <n v="200"/>
  </r>
  <r>
    <s v="ORD-1313"/>
    <x v="40"/>
    <s v="R-05"/>
    <s v="P-01"/>
    <n v="9"/>
    <s v="Headset"/>
    <x v="0"/>
    <n v="75"/>
    <n v="45"/>
    <x v="0"/>
    <x v="0"/>
    <n v="675"/>
    <n v="270"/>
  </r>
  <r>
    <s v="ORD-1036"/>
    <x v="40"/>
    <s v="R-03"/>
    <s v="P-01"/>
    <n v="1"/>
    <s v="Headset"/>
    <x v="0"/>
    <n v="75"/>
    <n v="45"/>
    <x v="4"/>
    <x v="4"/>
    <n v="75"/>
    <n v="30"/>
  </r>
  <r>
    <s v="ORD-1394"/>
    <x v="40"/>
    <s v="R-05"/>
    <s v="P-01"/>
    <n v="3"/>
    <s v="Headset"/>
    <x v="0"/>
    <n v="75"/>
    <n v="45"/>
    <x v="0"/>
    <x v="0"/>
    <n v="225"/>
    <n v="90"/>
  </r>
  <r>
    <s v="ORD-1142"/>
    <x v="41"/>
    <s v="R-04"/>
    <s v="P-08"/>
    <n v="8"/>
    <s v="T-Shirt"/>
    <x v="1"/>
    <n v="20"/>
    <n v="8"/>
    <x v="3"/>
    <x v="3"/>
    <n v="160"/>
    <n v="96"/>
  </r>
  <r>
    <s v="ORD-1575"/>
    <x v="41"/>
    <s v="R-01"/>
    <s v="P-01"/>
    <n v="7"/>
    <s v="Headset"/>
    <x v="0"/>
    <n v="75"/>
    <n v="45"/>
    <x v="2"/>
    <x v="2"/>
    <n v="525"/>
    <n v="210"/>
  </r>
  <r>
    <s v="ORD-1197"/>
    <x v="41"/>
    <s v="R-05"/>
    <s v="P-02"/>
    <n v="2"/>
    <s v="Mouse"/>
    <x v="0"/>
    <n v="25"/>
    <n v="12"/>
    <x v="0"/>
    <x v="0"/>
    <n v="50"/>
    <n v="26"/>
  </r>
  <r>
    <s v="ORD-1054"/>
    <x v="42"/>
    <s v="R-02"/>
    <s v="P-02"/>
    <n v="2"/>
    <s v="Mouse"/>
    <x v="0"/>
    <n v="25"/>
    <n v="12"/>
    <x v="1"/>
    <x v="1"/>
    <n v="50"/>
    <n v="26"/>
  </r>
  <r>
    <s v="ORD-1412"/>
    <x v="42"/>
    <s v="R-01"/>
    <s v="P-08"/>
    <n v="8"/>
    <s v="T-Shirt"/>
    <x v="1"/>
    <n v="20"/>
    <n v="8"/>
    <x v="2"/>
    <x v="2"/>
    <n v="160"/>
    <n v="96"/>
  </r>
  <r>
    <s v="ORD-1581"/>
    <x v="42"/>
    <s v="R-03"/>
    <s v="P-08"/>
    <n v="1"/>
    <s v="T-Shirt"/>
    <x v="1"/>
    <n v="20"/>
    <n v="8"/>
    <x v="4"/>
    <x v="4"/>
    <n v="20"/>
    <n v="12"/>
  </r>
  <r>
    <s v="ORD-1085"/>
    <x v="42"/>
    <s v="R-01"/>
    <s v="P-01"/>
    <n v="7"/>
    <s v="Headset"/>
    <x v="0"/>
    <n v="75"/>
    <n v="45"/>
    <x v="2"/>
    <x v="2"/>
    <n v="525"/>
    <n v="210"/>
  </r>
  <r>
    <s v="ORD-1215"/>
    <x v="42"/>
    <s v="R-01"/>
    <s v="P-06"/>
    <n v="2"/>
    <s v="Iron"/>
    <x v="2"/>
    <n v="35"/>
    <n v="20"/>
    <x v="2"/>
    <x v="2"/>
    <n v="70"/>
    <n v="30"/>
  </r>
  <r>
    <s v="ORD-1277"/>
    <x v="43"/>
    <s v="R-05"/>
    <s v="P-05"/>
    <n v="6"/>
    <s v="Blender"/>
    <x v="2"/>
    <n v="50"/>
    <n v="30"/>
    <x v="0"/>
    <x v="0"/>
    <n v="300"/>
    <n v="120"/>
  </r>
  <r>
    <s v="ORD-1409"/>
    <x v="43"/>
    <s v="R-03"/>
    <s v="P-01"/>
    <n v="9"/>
    <s v="Headset"/>
    <x v="0"/>
    <n v="75"/>
    <n v="45"/>
    <x v="4"/>
    <x v="4"/>
    <n v="675"/>
    <n v="270"/>
  </r>
  <r>
    <s v="ORD-1355"/>
    <x v="43"/>
    <s v="R-04"/>
    <s v="P-04"/>
    <n v="1"/>
    <s v="Webcam"/>
    <x v="0"/>
    <n v="60"/>
    <n v="35"/>
    <x v="3"/>
    <x v="3"/>
    <n v="60"/>
    <n v="25"/>
  </r>
  <r>
    <s v="ORD-1209"/>
    <x v="43"/>
    <s v="R-02"/>
    <s v="P-09"/>
    <n v="7"/>
    <s v="Pants"/>
    <x v="1"/>
    <n v="40"/>
    <n v="18"/>
    <x v="1"/>
    <x v="1"/>
    <n v="280"/>
    <n v="154"/>
  </r>
  <r>
    <s v="ORD-1064"/>
    <x v="43"/>
    <s v="R-01"/>
    <s v="P-07"/>
    <n v="7"/>
    <s v="Fan"/>
    <x v="2"/>
    <n v="45"/>
    <n v="25"/>
    <x v="2"/>
    <x v="2"/>
    <n v="315"/>
    <n v="140"/>
  </r>
  <r>
    <s v="ORD-1038"/>
    <x v="44"/>
    <s v="R-01"/>
    <s v="P-05"/>
    <n v="7"/>
    <s v="Blender"/>
    <x v="2"/>
    <n v="50"/>
    <n v="30"/>
    <x v="2"/>
    <x v="2"/>
    <n v="350"/>
    <n v="140"/>
  </r>
  <r>
    <s v="ORD-1584"/>
    <x v="45"/>
    <s v="R-03"/>
    <s v="P-07"/>
    <n v="3"/>
    <s v="Fan"/>
    <x v="2"/>
    <n v="45"/>
    <n v="25"/>
    <x v="4"/>
    <x v="4"/>
    <n v="135"/>
    <n v="60"/>
  </r>
  <r>
    <s v="ORD-1444"/>
    <x v="46"/>
    <s v="R-01"/>
    <s v="P-05"/>
    <n v="1"/>
    <s v="Blender"/>
    <x v="2"/>
    <n v="50"/>
    <n v="30"/>
    <x v="2"/>
    <x v="2"/>
    <n v="50"/>
    <n v="20"/>
  </r>
  <r>
    <s v="ORD-1402"/>
    <x v="46"/>
    <s v="R-04"/>
    <s v="P-02"/>
    <n v="3"/>
    <s v="Mouse"/>
    <x v="0"/>
    <n v="25"/>
    <n v="12"/>
    <x v="3"/>
    <x v="3"/>
    <n v="75"/>
    <n v="39"/>
  </r>
  <r>
    <s v="ORD-1356"/>
    <x v="46"/>
    <s v="R-02"/>
    <s v="P-08"/>
    <n v="2"/>
    <s v="T-Shirt"/>
    <x v="1"/>
    <n v="20"/>
    <n v="8"/>
    <x v="1"/>
    <x v="1"/>
    <n v="40"/>
    <n v="24"/>
  </r>
  <r>
    <s v="ORD-1436"/>
    <x v="46"/>
    <s v="R-02"/>
    <s v="P-06"/>
    <n v="9"/>
    <s v="Iron"/>
    <x v="2"/>
    <n v="35"/>
    <n v="20"/>
    <x v="1"/>
    <x v="1"/>
    <n v="315"/>
    <n v="135"/>
  </r>
  <r>
    <s v="ORD-1030"/>
    <x v="47"/>
    <s v="R-03"/>
    <s v="P-05"/>
    <n v="9"/>
    <s v="Blender"/>
    <x v="2"/>
    <n v="50"/>
    <n v="30"/>
    <x v="4"/>
    <x v="4"/>
    <n v="450"/>
    <n v="180"/>
  </r>
  <r>
    <s v="ORD-1262"/>
    <x v="48"/>
    <s v="R-01"/>
    <s v="P-02"/>
    <n v="1"/>
    <s v="Mouse"/>
    <x v="0"/>
    <n v="25"/>
    <n v="12"/>
    <x v="2"/>
    <x v="2"/>
    <n v="25"/>
    <n v="13"/>
  </r>
  <r>
    <s v="ORD-1413"/>
    <x v="48"/>
    <s v="R-04"/>
    <s v="P-06"/>
    <n v="4"/>
    <s v="Iron"/>
    <x v="2"/>
    <n v="35"/>
    <n v="20"/>
    <x v="3"/>
    <x v="3"/>
    <n v="140"/>
    <n v="60"/>
  </r>
  <r>
    <s v="ORD-1116"/>
    <x v="49"/>
    <s v="R-01"/>
    <s v="P-08"/>
    <n v="6"/>
    <s v="T-Shirt"/>
    <x v="1"/>
    <n v="20"/>
    <n v="8"/>
    <x v="2"/>
    <x v="2"/>
    <n v="120"/>
    <n v="72"/>
  </r>
  <r>
    <s v="ORD-1561"/>
    <x v="49"/>
    <s v="R-05"/>
    <s v="P-04"/>
    <n v="1"/>
    <s v="Webcam"/>
    <x v="0"/>
    <n v="60"/>
    <n v="35"/>
    <x v="0"/>
    <x v="0"/>
    <n v="60"/>
    <n v="25"/>
  </r>
  <r>
    <s v="ORD-1161"/>
    <x v="49"/>
    <s v="R-02"/>
    <s v="P-04"/>
    <n v="9"/>
    <s v="Webcam"/>
    <x v="0"/>
    <n v="60"/>
    <n v="35"/>
    <x v="1"/>
    <x v="1"/>
    <n v="540"/>
    <n v="225"/>
  </r>
  <r>
    <s v="ORD-1101"/>
    <x v="50"/>
    <s v="R-02"/>
    <s v="P-04"/>
    <n v="4"/>
    <s v="Webcam"/>
    <x v="0"/>
    <n v="60"/>
    <n v="35"/>
    <x v="1"/>
    <x v="1"/>
    <n v="240"/>
    <n v="100"/>
  </r>
  <r>
    <s v="ORD-1138"/>
    <x v="50"/>
    <s v="R-01"/>
    <s v="P-04"/>
    <n v="6"/>
    <s v="Webcam"/>
    <x v="0"/>
    <n v="60"/>
    <n v="35"/>
    <x v="2"/>
    <x v="2"/>
    <n v="360"/>
    <n v="150"/>
  </r>
  <r>
    <s v="ORD-1397"/>
    <x v="50"/>
    <s v="R-05"/>
    <s v="P-05"/>
    <n v="6"/>
    <s v="Blender"/>
    <x v="2"/>
    <n v="50"/>
    <n v="30"/>
    <x v="0"/>
    <x v="0"/>
    <n v="300"/>
    <n v="120"/>
  </r>
  <r>
    <s v="ORD-1094"/>
    <x v="51"/>
    <s v="R-03"/>
    <s v="P-08"/>
    <n v="6"/>
    <s v="T-Shirt"/>
    <x v="1"/>
    <n v="20"/>
    <n v="8"/>
    <x v="4"/>
    <x v="4"/>
    <n v="120"/>
    <n v="72"/>
  </r>
  <r>
    <s v="ORD-1512"/>
    <x v="51"/>
    <s v="R-05"/>
    <s v="P-04"/>
    <n v="6"/>
    <s v="Webcam"/>
    <x v="0"/>
    <n v="60"/>
    <n v="35"/>
    <x v="0"/>
    <x v="0"/>
    <n v="360"/>
    <n v="150"/>
  </r>
  <r>
    <s v="ORD-1158"/>
    <x v="52"/>
    <s v="R-01"/>
    <s v="P-01"/>
    <n v="6"/>
    <s v="Headset"/>
    <x v="0"/>
    <n v="75"/>
    <n v="45"/>
    <x v="2"/>
    <x v="2"/>
    <n v="450"/>
    <n v="180"/>
  </r>
  <r>
    <s v="ORD-1298"/>
    <x v="53"/>
    <s v="R-03"/>
    <s v="P-05"/>
    <n v="10"/>
    <s v="Blender"/>
    <x v="2"/>
    <n v="50"/>
    <n v="30"/>
    <x v="4"/>
    <x v="4"/>
    <n v="500"/>
    <n v="200"/>
  </r>
  <r>
    <s v="ORD-1578"/>
    <x v="54"/>
    <s v="R-05"/>
    <s v="P-08"/>
    <n v="8"/>
    <s v="T-Shirt"/>
    <x v="1"/>
    <n v="20"/>
    <n v="8"/>
    <x v="0"/>
    <x v="0"/>
    <n v="160"/>
    <n v="96"/>
  </r>
  <r>
    <s v="ORD-1458"/>
    <x v="54"/>
    <s v="R-04"/>
    <s v="P-09"/>
    <n v="4"/>
    <s v="Pants"/>
    <x v="1"/>
    <n v="40"/>
    <n v="18"/>
    <x v="3"/>
    <x v="3"/>
    <n v="160"/>
    <n v="88"/>
  </r>
  <r>
    <s v="ORD-1469"/>
    <x v="54"/>
    <s v="R-04"/>
    <s v="P-04"/>
    <n v="4"/>
    <s v="Webcam"/>
    <x v="0"/>
    <n v="60"/>
    <n v="35"/>
    <x v="3"/>
    <x v="3"/>
    <n v="240"/>
    <n v="100"/>
  </r>
  <r>
    <s v="ORD-1004"/>
    <x v="55"/>
    <s v="R-02"/>
    <s v="P-05"/>
    <n v="5"/>
    <s v="Blender"/>
    <x v="2"/>
    <n v="50"/>
    <n v="30"/>
    <x v="1"/>
    <x v="1"/>
    <n v="250"/>
    <n v="100"/>
  </r>
  <r>
    <s v="ORD-1281"/>
    <x v="56"/>
    <s v="R-03"/>
    <s v="P-10"/>
    <n v="2"/>
    <s v="Shoes"/>
    <x v="1"/>
    <n v="75"/>
    <n v="40"/>
    <x v="4"/>
    <x v="4"/>
    <n v="150"/>
    <n v="70"/>
  </r>
  <r>
    <s v="ORD-1535"/>
    <x v="56"/>
    <s v="R-01"/>
    <s v="P-05"/>
    <n v="2"/>
    <s v="Blender"/>
    <x v="2"/>
    <n v="50"/>
    <n v="30"/>
    <x v="2"/>
    <x v="2"/>
    <n v="100"/>
    <n v="40"/>
  </r>
  <r>
    <s v="ORD-1462"/>
    <x v="57"/>
    <s v="R-04"/>
    <s v="P-03"/>
    <n v="8"/>
    <s v="Keyboard"/>
    <x v="0"/>
    <n v="40"/>
    <n v="22"/>
    <x v="3"/>
    <x v="3"/>
    <n v="320"/>
    <n v="144"/>
  </r>
  <r>
    <s v="ORD-1570"/>
    <x v="57"/>
    <s v="R-01"/>
    <s v="P-09"/>
    <n v="1"/>
    <s v="Pants"/>
    <x v="1"/>
    <n v="40"/>
    <n v="18"/>
    <x v="2"/>
    <x v="2"/>
    <n v="40"/>
    <n v="22"/>
  </r>
  <r>
    <s v="ORD-1203"/>
    <x v="58"/>
    <s v="R-02"/>
    <s v="P-05"/>
    <n v="3"/>
    <s v="Blender"/>
    <x v="2"/>
    <n v="50"/>
    <n v="30"/>
    <x v="1"/>
    <x v="1"/>
    <n v="150"/>
    <n v="60"/>
  </r>
  <r>
    <s v="ORD-1060"/>
    <x v="58"/>
    <s v="R-01"/>
    <s v="P-10"/>
    <n v="1"/>
    <s v="Shoes"/>
    <x v="1"/>
    <n v="75"/>
    <n v="40"/>
    <x v="2"/>
    <x v="2"/>
    <n v="75"/>
    <n v="35"/>
  </r>
  <r>
    <s v="ORD-1103"/>
    <x v="58"/>
    <s v="R-03"/>
    <s v="P-09"/>
    <n v="2"/>
    <s v="Pants"/>
    <x v="1"/>
    <n v="40"/>
    <n v="18"/>
    <x v="4"/>
    <x v="4"/>
    <n v="80"/>
    <n v="44"/>
  </r>
  <r>
    <s v="ORD-1562"/>
    <x v="59"/>
    <s v="R-03"/>
    <s v="P-01"/>
    <n v="5"/>
    <s v="Headset"/>
    <x v="0"/>
    <n v="75"/>
    <n v="45"/>
    <x v="4"/>
    <x v="4"/>
    <n v="375"/>
    <n v="150"/>
  </r>
  <r>
    <s v="ORD-1156"/>
    <x v="60"/>
    <s v="R-05"/>
    <s v="P-05"/>
    <n v="10"/>
    <s v="Blender"/>
    <x v="2"/>
    <n v="50"/>
    <n v="30"/>
    <x v="0"/>
    <x v="0"/>
    <n v="500"/>
    <n v="200"/>
  </r>
  <r>
    <s v="ORD-1465"/>
    <x v="60"/>
    <s v="R-02"/>
    <s v="P-09"/>
    <n v="7"/>
    <s v="Pants"/>
    <x v="1"/>
    <n v="40"/>
    <n v="18"/>
    <x v="1"/>
    <x v="1"/>
    <n v="280"/>
    <n v="154"/>
  </r>
  <r>
    <s v="ORD-1011"/>
    <x v="61"/>
    <s v="R-05"/>
    <s v="P-02"/>
    <n v="10"/>
    <s v="Mouse"/>
    <x v="0"/>
    <n v="25"/>
    <n v="12"/>
    <x v="0"/>
    <x v="0"/>
    <n v="250"/>
    <n v="130"/>
  </r>
  <r>
    <s v="ORD-1048"/>
    <x v="62"/>
    <s v="R-02"/>
    <s v="P-10"/>
    <n v="2"/>
    <s v="Shoes"/>
    <x v="1"/>
    <n v="75"/>
    <n v="40"/>
    <x v="1"/>
    <x v="1"/>
    <n v="150"/>
    <n v="70"/>
  </r>
  <r>
    <s v="ORD-1453"/>
    <x v="62"/>
    <s v="R-05"/>
    <s v="P-10"/>
    <n v="9"/>
    <s v="Shoes"/>
    <x v="1"/>
    <n v="75"/>
    <n v="40"/>
    <x v="0"/>
    <x v="0"/>
    <n v="675"/>
    <n v="315"/>
  </r>
  <r>
    <s v="ORD-1526"/>
    <x v="63"/>
    <s v="R-02"/>
    <s v="P-06"/>
    <n v="3"/>
    <s v="Iron"/>
    <x v="2"/>
    <n v="35"/>
    <n v="20"/>
    <x v="1"/>
    <x v="1"/>
    <n v="105"/>
    <n v="45"/>
  </r>
  <r>
    <s v="ORD-1529"/>
    <x v="63"/>
    <s v="R-03"/>
    <s v="P-02"/>
    <n v="4"/>
    <s v="Mouse"/>
    <x v="0"/>
    <n v="25"/>
    <n v="12"/>
    <x v="4"/>
    <x v="4"/>
    <n v="100"/>
    <n v="52"/>
  </r>
  <r>
    <s v="ORD-1435"/>
    <x v="64"/>
    <s v="R-01"/>
    <s v="P-10"/>
    <n v="2"/>
    <s v="Shoes"/>
    <x v="1"/>
    <n v="75"/>
    <n v="40"/>
    <x v="2"/>
    <x v="2"/>
    <n v="150"/>
    <n v="70"/>
  </r>
  <r>
    <s v="ORD-1388"/>
    <x v="64"/>
    <s v="R-01"/>
    <s v="P-04"/>
    <n v="10"/>
    <s v="Webcam"/>
    <x v="0"/>
    <n v="60"/>
    <n v="35"/>
    <x v="2"/>
    <x v="2"/>
    <n v="600"/>
    <n v="250"/>
  </r>
  <r>
    <s v="ORD-1056"/>
    <x v="64"/>
    <s v="R-04"/>
    <s v="P-09"/>
    <n v="6"/>
    <s v="Pants"/>
    <x v="1"/>
    <n v="40"/>
    <n v="18"/>
    <x v="3"/>
    <x v="3"/>
    <n v="240"/>
    <n v="132"/>
  </r>
  <r>
    <s v="ORD-1528"/>
    <x v="65"/>
    <s v="R-03"/>
    <s v="P-02"/>
    <n v="2"/>
    <s v="Mouse"/>
    <x v="0"/>
    <n v="25"/>
    <n v="12"/>
    <x v="4"/>
    <x v="4"/>
    <n v="50"/>
    <n v="26"/>
  </r>
  <r>
    <s v="ORD-1471"/>
    <x v="66"/>
    <s v="R-03"/>
    <s v="P-07"/>
    <n v="6"/>
    <s v="Fan"/>
    <x v="2"/>
    <n v="45"/>
    <n v="25"/>
    <x v="4"/>
    <x v="4"/>
    <n v="270"/>
    <n v="120"/>
  </r>
  <r>
    <s v="ORD-1342"/>
    <x v="67"/>
    <s v="R-03"/>
    <s v="P-05"/>
    <n v="8"/>
    <s v="Blender"/>
    <x v="2"/>
    <n v="50"/>
    <n v="30"/>
    <x v="4"/>
    <x v="4"/>
    <n v="400"/>
    <n v="160"/>
  </r>
  <r>
    <s v="ORD-1519"/>
    <x v="67"/>
    <s v="R-01"/>
    <s v="P-01"/>
    <n v="3"/>
    <s v="Headset"/>
    <x v="0"/>
    <n v="75"/>
    <n v="45"/>
    <x v="2"/>
    <x v="2"/>
    <n v="225"/>
    <n v="90"/>
  </r>
  <r>
    <s v="ORD-1449"/>
    <x v="68"/>
    <s v="R-03"/>
    <s v="P-03"/>
    <n v="8"/>
    <s v="Keyboard"/>
    <x v="0"/>
    <n v="40"/>
    <n v="22"/>
    <x v="4"/>
    <x v="4"/>
    <n v="320"/>
    <n v="144"/>
  </r>
  <r>
    <s v="ORD-1546"/>
    <x v="68"/>
    <s v="R-04"/>
    <s v="P-01"/>
    <n v="4"/>
    <s v="Headset"/>
    <x v="0"/>
    <n v="75"/>
    <n v="45"/>
    <x v="3"/>
    <x v="3"/>
    <n v="300"/>
    <n v="120"/>
  </r>
  <r>
    <s v="ORD-1192"/>
    <x v="68"/>
    <s v="R-03"/>
    <s v="P-04"/>
    <n v="4"/>
    <s v="Webcam"/>
    <x v="0"/>
    <n v="60"/>
    <n v="35"/>
    <x v="4"/>
    <x v="4"/>
    <n v="240"/>
    <n v="100"/>
  </r>
  <r>
    <s v="ORD-1493"/>
    <x v="68"/>
    <s v="R-05"/>
    <s v="P-04"/>
    <n v="8"/>
    <s v="Webcam"/>
    <x v="0"/>
    <n v="60"/>
    <n v="35"/>
    <x v="0"/>
    <x v="0"/>
    <n v="480"/>
    <n v="200"/>
  </r>
  <r>
    <s v="ORD-1143"/>
    <x v="68"/>
    <s v="R-05"/>
    <s v="P-04"/>
    <n v="2"/>
    <s v="Webcam"/>
    <x v="0"/>
    <n v="60"/>
    <n v="35"/>
    <x v="0"/>
    <x v="0"/>
    <n v="120"/>
    <n v="50"/>
  </r>
  <r>
    <s v="ORD-1320"/>
    <x v="69"/>
    <s v="R-04"/>
    <s v="P-01"/>
    <n v="6"/>
    <s v="Headset"/>
    <x v="0"/>
    <n v="75"/>
    <n v="45"/>
    <x v="3"/>
    <x v="3"/>
    <n v="450"/>
    <n v="180"/>
  </r>
  <r>
    <s v="ORD-1233"/>
    <x v="69"/>
    <s v="R-03"/>
    <s v="P-01"/>
    <n v="2"/>
    <s v="Headset"/>
    <x v="0"/>
    <n v="75"/>
    <n v="45"/>
    <x v="4"/>
    <x v="4"/>
    <n v="150"/>
    <n v="60"/>
  </r>
  <r>
    <s v="ORD-1229"/>
    <x v="70"/>
    <s v="R-03"/>
    <s v="P-06"/>
    <n v="2"/>
    <s v="Iron"/>
    <x v="2"/>
    <n v="35"/>
    <n v="20"/>
    <x v="4"/>
    <x v="4"/>
    <n v="70"/>
    <n v="30"/>
  </r>
  <r>
    <s v="ORD-1288"/>
    <x v="71"/>
    <s v="R-02"/>
    <s v="P-02"/>
    <n v="1"/>
    <s v="Mouse"/>
    <x v="0"/>
    <n v="25"/>
    <n v="12"/>
    <x v="1"/>
    <x v="1"/>
    <n v="25"/>
    <n v="13"/>
  </r>
  <r>
    <s v="ORD-1335"/>
    <x v="71"/>
    <s v="R-03"/>
    <s v="P-01"/>
    <n v="10"/>
    <s v="Headset"/>
    <x v="0"/>
    <n v="75"/>
    <n v="45"/>
    <x v="4"/>
    <x v="4"/>
    <n v="750"/>
    <n v="300"/>
  </r>
  <r>
    <s v="ORD-1271"/>
    <x v="71"/>
    <s v="R-05"/>
    <s v="P-01"/>
    <n v="1"/>
    <s v="Headset"/>
    <x v="0"/>
    <n v="75"/>
    <n v="45"/>
    <x v="0"/>
    <x v="0"/>
    <n v="75"/>
    <n v="30"/>
  </r>
  <r>
    <s v="ORD-1119"/>
    <x v="71"/>
    <s v="R-03"/>
    <s v="P-09"/>
    <n v="2"/>
    <s v="Pants"/>
    <x v="1"/>
    <n v="40"/>
    <n v="18"/>
    <x v="4"/>
    <x v="4"/>
    <n v="80"/>
    <n v="44"/>
  </r>
  <r>
    <s v="ORD-1544"/>
    <x v="71"/>
    <s v="R-01"/>
    <s v="P-03"/>
    <n v="5"/>
    <s v="Keyboard"/>
    <x v="0"/>
    <n v="40"/>
    <n v="22"/>
    <x v="2"/>
    <x v="2"/>
    <n v="200"/>
    <n v="90"/>
  </r>
  <r>
    <s v="ORD-1579"/>
    <x v="71"/>
    <s v="R-01"/>
    <s v="P-07"/>
    <n v="1"/>
    <s v="Fan"/>
    <x v="2"/>
    <n v="45"/>
    <n v="25"/>
    <x v="2"/>
    <x v="2"/>
    <n v="45"/>
    <n v="20"/>
  </r>
  <r>
    <s v="ORD-1343"/>
    <x v="71"/>
    <s v="R-04"/>
    <s v="P-10"/>
    <n v="3"/>
    <s v="Shoes"/>
    <x v="1"/>
    <n v="75"/>
    <n v="40"/>
    <x v="3"/>
    <x v="3"/>
    <n v="225"/>
    <n v="105"/>
  </r>
  <r>
    <s v="ORD-1256"/>
    <x v="71"/>
    <s v="R-02"/>
    <s v="P-10"/>
    <n v="7"/>
    <s v="Shoes"/>
    <x v="1"/>
    <n v="75"/>
    <n v="40"/>
    <x v="1"/>
    <x v="1"/>
    <n v="525"/>
    <n v="245"/>
  </r>
  <r>
    <s v="ORD-1477"/>
    <x v="72"/>
    <s v="R-03"/>
    <s v="P-04"/>
    <n v="7"/>
    <s v="Webcam"/>
    <x v="0"/>
    <n v="60"/>
    <n v="35"/>
    <x v="4"/>
    <x v="4"/>
    <n v="420"/>
    <n v="175"/>
  </r>
  <r>
    <s v="ORD-1012"/>
    <x v="72"/>
    <s v="R-04"/>
    <s v="P-08"/>
    <n v="9"/>
    <s v="T-Shirt"/>
    <x v="1"/>
    <n v="20"/>
    <n v="8"/>
    <x v="3"/>
    <x v="3"/>
    <n v="180"/>
    <n v="108"/>
  </r>
  <r>
    <s v="ORD-1487"/>
    <x v="72"/>
    <s v="R-02"/>
    <s v="P-03"/>
    <n v="7"/>
    <s v="Keyboard"/>
    <x v="0"/>
    <n v="40"/>
    <n v="22"/>
    <x v="1"/>
    <x v="1"/>
    <n v="280"/>
    <n v="126"/>
  </r>
  <r>
    <s v="ORD-1568"/>
    <x v="72"/>
    <s v="R-05"/>
    <s v="P-10"/>
    <n v="1"/>
    <s v="Shoes"/>
    <x v="1"/>
    <n v="75"/>
    <n v="40"/>
    <x v="0"/>
    <x v="0"/>
    <n v="75"/>
    <n v="35"/>
  </r>
  <r>
    <s v="ORD-1125"/>
    <x v="73"/>
    <s v="R-03"/>
    <s v="P-10"/>
    <n v="4"/>
    <s v="Shoes"/>
    <x v="1"/>
    <n v="75"/>
    <n v="40"/>
    <x v="4"/>
    <x v="4"/>
    <n v="300"/>
    <n v="140"/>
  </r>
  <r>
    <s v="ORD-1509"/>
    <x v="73"/>
    <s v="R-04"/>
    <s v="P-03"/>
    <n v="8"/>
    <s v="Keyboard"/>
    <x v="0"/>
    <n v="40"/>
    <n v="22"/>
    <x v="3"/>
    <x v="3"/>
    <n v="320"/>
    <n v="144"/>
  </r>
  <r>
    <s v="ORD-1410"/>
    <x v="73"/>
    <s v="R-04"/>
    <s v="P-09"/>
    <n v="5"/>
    <s v="Pants"/>
    <x v="1"/>
    <n v="40"/>
    <n v="18"/>
    <x v="3"/>
    <x v="3"/>
    <n v="200"/>
    <n v="110"/>
  </r>
  <r>
    <s v="ORD-1201"/>
    <x v="73"/>
    <s v="R-04"/>
    <s v="P-04"/>
    <n v="5"/>
    <s v="Webcam"/>
    <x v="0"/>
    <n v="60"/>
    <n v="35"/>
    <x v="3"/>
    <x v="3"/>
    <n v="300"/>
    <n v="125"/>
  </r>
  <r>
    <s v="ORD-1416"/>
    <x v="74"/>
    <s v="R-05"/>
    <s v="P-01"/>
    <n v="7"/>
    <s v="Headset"/>
    <x v="0"/>
    <n v="75"/>
    <n v="45"/>
    <x v="0"/>
    <x v="0"/>
    <n v="525"/>
    <n v="210"/>
  </r>
  <r>
    <s v="ORD-1007"/>
    <x v="74"/>
    <s v="R-01"/>
    <s v="P-04"/>
    <n v="4"/>
    <s v="Webcam"/>
    <x v="0"/>
    <n v="60"/>
    <n v="35"/>
    <x v="2"/>
    <x v="2"/>
    <n v="240"/>
    <n v="100"/>
  </r>
  <r>
    <s v="ORD-1000"/>
    <x v="74"/>
    <s v="R-04"/>
    <s v="P-09"/>
    <n v="10"/>
    <s v="Pants"/>
    <x v="1"/>
    <n v="40"/>
    <n v="18"/>
    <x v="3"/>
    <x v="3"/>
    <n v="400"/>
    <n v="220"/>
  </r>
  <r>
    <s v="ORD-1283"/>
    <x v="75"/>
    <s v="R-01"/>
    <s v="P-10"/>
    <n v="3"/>
    <s v="Shoes"/>
    <x v="1"/>
    <n v="75"/>
    <n v="40"/>
    <x v="2"/>
    <x v="2"/>
    <n v="225"/>
    <n v="105"/>
  </r>
  <r>
    <s v="ORD-1368"/>
    <x v="75"/>
    <s v="R-02"/>
    <s v="P-04"/>
    <n v="7"/>
    <s v="Webcam"/>
    <x v="0"/>
    <n v="60"/>
    <n v="35"/>
    <x v="1"/>
    <x v="1"/>
    <n v="420"/>
    <n v="175"/>
  </r>
  <r>
    <s v="ORD-1531"/>
    <x v="76"/>
    <s v="R-02"/>
    <s v="P-09"/>
    <n v="6"/>
    <s v="Pants"/>
    <x v="1"/>
    <n v="40"/>
    <n v="18"/>
    <x v="1"/>
    <x v="1"/>
    <n v="240"/>
    <n v="132"/>
  </r>
  <r>
    <s v="ORD-1428"/>
    <x v="77"/>
    <s v="R-05"/>
    <s v="P-06"/>
    <n v="5"/>
    <s v="Iron"/>
    <x v="2"/>
    <n v="35"/>
    <n v="20"/>
    <x v="0"/>
    <x v="0"/>
    <n v="175"/>
    <n v="75"/>
  </r>
  <r>
    <s v="ORD-1065"/>
    <x v="77"/>
    <s v="R-03"/>
    <s v="P-06"/>
    <n v="8"/>
    <s v="Iron"/>
    <x v="2"/>
    <n v="35"/>
    <n v="20"/>
    <x v="4"/>
    <x v="4"/>
    <n v="280"/>
    <n v="120"/>
  </r>
  <r>
    <s v="ORD-1003"/>
    <x v="78"/>
    <s v="R-01"/>
    <s v="P-02"/>
    <n v="10"/>
    <s v="Mouse"/>
    <x v="0"/>
    <n v="25"/>
    <n v="12"/>
    <x v="2"/>
    <x v="2"/>
    <n v="250"/>
    <n v="130"/>
  </r>
  <r>
    <s v="ORD-1165"/>
    <x v="79"/>
    <s v="R-02"/>
    <s v="P-02"/>
    <n v="1"/>
    <s v="Mouse"/>
    <x v="0"/>
    <n v="25"/>
    <n v="12"/>
    <x v="1"/>
    <x v="1"/>
    <n v="25"/>
    <n v="13"/>
  </r>
  <r>
    <s v="ORD-1414"/>
    <x v="79"/>
    <s v="R-02"/>
    <s v="P-02"/>
    <n v="9"/>
    <s v="Mouse"/>
    <x v="0"/>
    <n v="25"/>
    <n v="12"/>
    <x v="1"/>
    <x v="1"/>
    <n v="225"/>
    <n v="117"/>
  </r>
  <r>
    <s v="ORD-1586"/>
    <x v="80"/>
    <s v="R-05"/>
    <s v="P-05"/>
    <n v="6"/>
    <s v="Blender"/>
    <x v="2"/>
    <n v="50"/>
    <n v="30"/>
    <x v="0"/>
    <x v="0"/>
    <n v="300"/>
    <n v="120"/>
  </r>
  <r>
    <s v="ORD-1287"/>
    <x v="81"/>
    <s v="R-05"/>
    <s v="P-10"/>
    <n v="3"/>
    <s v="Shoes"/>
    <x v="1"/>
    <n v="75"/>
    <n v="40"/>
    <x v="0"/>
    <x v="0"/>
    <n v="225"/>
    <n v="105"/>
  </r>
  <r>
    <s v="ORD-1261"/>
    <x v="81"/>
    <s v="R-01"/>
    <s v="P-04"/>
    <n v="6"/>
    <s v="Webcam"/>
    <x v="0"/>
    <n v="60"/>
    <n v="35"/>
    <x v="2"/>
    <x v="2"/>
    <n v="360"/>
    <n v="150"/>
  </r>
  <r>
    <s v="ORD-1282"/>
    <x v="82"/>
    <s v="R-01"/>
    <s v="P-10"/>
    <n v="9"/>
    <s v="Shoes"/>
    <x v="1"/>
    <n v="75"/>
    <n v="40"/>
    <x v="2"/>
    <x v="2"/>
    <n v="675"/>
    <n v="315"/>
  </r>
  <r>
    <s v="ORD-1202"/>
    <x v="82"/>
    <s v="R-05"/>
    <s v="P-06"/>
    <n v="9"/>
    <s v="Iron"/>
    <x v="2"/>
    <n v="35"/>
    <n v="20"/>
    <x v="0"/>
    <x v="0"/>
    <n v="315"/>
    <n v="135"/>
  </r>
  <r>
    <s v="ORD-1195"/>
    <x v="82"/>
    <s v="R-01"/>
    <s v="P-07"/>
    <n v="5"/>
    <s v="Fan"/>
    <x v="2"/>
    <n v="45"/>
    <n v="25"/>
    <x v="2"/>
    <x v="2"/>
    <n v="225"/>
    <n v="100"/>
  </r>
  <r>
    <s v="ORD-1200"/>
    <x v="82"/>
    <s v="R-03"/>
    <s v="P-07"/>
    <n v="7"/>
    <s v="Fan"/>
    <x v="2"/>
    <n v="45"/>
    <n v="25"/>
    <x v="4"/>
    <x v="4"/>
    <n v="315"/>
    <n v="140"/>
  </r>
  <r>
    <s v="ORD-1205"/>
    <x v="82"/>
    <s v="R-04"/>
    <s v="P-08"/>
    <n v="1"/>
    <s v="T-Shirt"/>
    <x v="1"/>
    <n v="20"/>
    <n v="8"/>
    <x v="3"/>
    <x v="3"/>
    <n v="20"/>
    <n v="12"/>
  </r>
  <r>
    <s v="ORD-1534"/>
    <x v="83"/>
    <s v="R-03"/>
    <s v="P-09"/>
    <n v="6"/>
    <s v="Pants"/>
    <x v="1"/>
    <n v="40"/>
    <n v="18"/>
    <x v="4"/>
    <x v="4"/>
    <n v="240"/>
    <n v="132"/>
  </r>
  <r>
    <s v="ORD-1361"/>
    <x v="83"/>
    <s v="R-02"/>
    <s v="P-06"/>
    <n v="7"/>
    <s v="Iron"/>
    <x v="2"/>
    <n v="35"/>
    <n v="20"/>
    <x v="1"/>
    <x v="1"/>
    <n v="245"/>
    <n v="105"/>
  </r>
  <r>
    <s v="ORD-1530"/>
    <x v="84"/>
    <s v="R-02"/>
    <s v="P-10"/>
    <n v="9"/>
    <s v="Shoes"/>
    <x v="1"/>
    <n v="75"/>
    <n v="40"/>
    <x v="1"/>
    <x v="1"/>
    <n v="675"/>
    <n v="315"/>
  </r>
  <r>
    <s v="ORD-1280"/>
    <x v="85"/>
    <s v="R-04"/>
    <s v="P-06"/>
    <n v="5"/>
    <s v="Iron"/>
    <x v="2"/>
    <n v="35"/>
    <n v="20"/>
    <x v="3"/>
    <x v="3"/>
    <n v="175"/>
    <n v="75"/>
  </r>
  <r>
    <s v="ORD-1177"/>
    <x v="85"/>
    <s v="R-05"/>
    <s v="P-01"/>
    <n v="8"/>
    <s v="Headset"/>
    <x v="0"/>
    <n v="75"/>
    <n v="45"/>
    <x v="0"/>
    <x v="0"/>
    <n v="600"/>
    <n v="240"/>
  </r>
  <r>
    <s v="ORD-1345"/>
    <x v="85"/>
    <s v="R-01"/>
    <s v="P-04"/>
    <n v="4"/>
    <s v="Webcam"/>
    <x v="0"/>
    <n v="60"/>
    <n v="35"/>
    <x v="2"/>
    <x v="2"/>
    <n v="240"/>
    <n v="100"/>
  </r>
  <r>
    <s v="ORD-1439"/>
    <x v="86"/>
    <s v="R-05"/>
    <s v="P-09"/>
    <n v="4"/>
    <s v="Pants"/>
    <x v="1"/>
    <n v="40"/>
    <n v="18"/>
    <x v="0"/>
    <x v="0"/>
    <n v="160"/>
    <n v="88"/>
  </r>
  <r>
    <s v="ORD-1451"/>
    <x v="87"/>
    <s v="R-03"/>
    <s v="P-05"/>
    <n v="10"/>
    <s v="Blender"/>
    <x v="2"/>
    <n v="50"/>
    <n v="30"/>
    <x v="4"/>
    <x v="4"/>
    <n v="500"/>
    <n v="200"/>
  </r>
  <r>
    <s v="ORD-1278"/>
    <x v="88"/>
    <s v="R-03"/>
    <s v="P-02"/>
    <n v="9"/>
    <s v="Mouse"/>
    <x v="0"/>
    <n v="25"/>
    <n v="12"/>
    <x v="4"/>
    <x v="4"/>
    <n v="225"/>
    <n v="117"/>
  </r>
  <r>
    <s v="ORD-1432"/>
    <x v="88"/>
    <s v="R-01"/>
    <s v="P-08"/>
    <n v="9"/>
    <s v="T-Shirt"/>
    <x v="1"/>
    <n v="20"/>
    <n v="8"/>
    <x v="2"/>
    <x v="2"/>
    <n v="180"/>
    <n v="108"/>
  </r>
  <r>
    <s v="ORD-1176"/>
    <x v="89"/>
    <s v="R-03"/>
    <s v="P-08"/>
    <n v="3"/>
    <s v="T-Shirt"/>
    <x v="1"/>
    <n v="20"/>
    <n v="8"/>
    <x v="4"/>
    <x v="4"/>
    <n v="60"/>
    <n v="36"/>
  </r>
  <r>
    <s v="ORD-1445"/>
    <x v="90"/>
    <s v="R-04"/>
    <s v="P-10"/>
    <n v="7"/>
    <s v="Shoes"/>
    <x v="1"/>
    <n v="75"/>
    <n v="40"/>
    <x v="3"/>
    <x v="3"/>
    <n v="525"/>
    <n v="245"/>
  </r>
  <r>
    <s v="ORD-1008"/>
    <x v="90"/>
    <s v="R-04"/>
    <s v="P-03"/>
    <n v="6"/>
    <s v="Keyboard"/>
    <x v="0"/>
    <n v="40"/>
    <n v="22"/>
    <x v="3"/>
    <x v="3"/>
    <n v="240"/>
    <n v="108"/>
  </r>
  <r>
    <s v="ORD-1591"/>
    <x v="90"/>
    <s v="R-01"/>
    <s v="P-09"/>
    <n v="10"/>
    <s v="Pants"/>
    <x v="1"/>
    <n v="40"/>
    <n v="18"/>
    <x v="2"/>
    <x v="2"/>
    <n v="400"/>
    <n v="220"/>
  </r>
  <r>
    <s v="ORD-1224"/>
    <x v="91"/>
    <s v="R-04"/>
    <s v="P-06"/>
    <n v="1"/>
    <s v="Iron"/>
    <x v="2"/>
    <n v="35"/>
    <n v="20"/>
    <x v="3"/>
    <x v="3"/>
    <n v="35"/>
    <n v="15"/>
  </r>
  <r>
    <s v="ORD-1427"/>
    <x v="92"/>
    <s v="R-02"/>
    <s v="P-05"/>
    <n v="1"/>
    <s v="Blender"/>
    <x v="2"/>
    <n v="50"/>
    <n v="30"/>
    <x v="1"/>
    <x v="1"/>
    <n v="50"/>
    <n v="20"/>
  </r>
  <r>
    <s v="ORD-1235"/>
    <x v="92"/>
    <s v="R-05"/>
    <s v="P-09"/>
    <n v="9"/>
    <s v="Pants"/>
    <x v="1"/>
    <n v="40"/>
    <n v="18"/>
    <x v="0"/>
    <x v="0"/>
    <n v="360"/>
    <n v="198"/>
  </r>
  <r>
    <s v="ORD-1399"/>
    <x v="93"/>
    <s v="R-04"/>
    <s v="P-08"/>
    <n v="7"/>
    <s v="T-Shirt"/>
    <x v="1"/>
    <n v="20"/>
    <n v="8"/>
    <x v="3"/>
    <x v="3"/>
    <n v="140"/>
    <n v="84"/>
  </r>
  <r>
    <s v="ORD-1213"/>
    <x v="94"/>
    <s v="R-05"/>
    <s v="P-06"/>
    <n v="2"/>
    <s v="Iron"/>
    <x v="2"/>
    <n v="35"/>
    <n v="20"/>
    <x v="0"/>
    <x v="0"/>
    <n v="70"/>
    <n v="30"/>
  </r>
  <r>
    <s v="ORD-1450"/>
    <x v="94"/>
    <s v="R-02"/>
    <s v="P-02"/>
    <n v="9"/>
    <s v="Mouse"/>
    <x v="0"/>
    <n v="25"/>
    <n v="12"/>
    <x v="1"/>
    <x v="1"/>
    <n v="225"/>
    <n v="117"/>
  </r>
  <r>
    <s v="ORD-1442"/>
    <x v="95"/>
    <s v="R-02"/>
    <s v="P-09"/>
    <n v="7"/>
    <s v="Pants"/>
    <x v="1"/>
    <n v="40"/>
    <n v="18"/>
    <x v="1"/>
    <x v="1"/>
    <n v="280"/>
    <n v="154"/>
  </r>
  <r>
    <s v="ORD-1365"/>
    <x v="95"/>
    <s v="R-03"/>
    <s v="P-03"/>
    <n v="6"/>
    <s v="Keyboard"/>
    <x v="0"/>
    <n v="40"/>
    <n v="22"/>
    <x v="4"/>
    <x v="4"/>
    <n v="240"/>
    <n v="108"/>
  </r>
  <r>
    <s v="ORD-1170"/>
    <x v="96"/>
    <s v="R-04"/>
    <s v="P-02"/>
    <n v="5"/>
    <s v="Mouse"/>
    <x v="0"/>
    <n v="25"/>
    <n v="12"/>
    <x v="3"/>
    <x v="3"/>
    <n v="125"/>
    <n v="65"/>
  </r>
  <r>
    <s v="ORD-1351"/>
    <x v="96"/>
    <s v="R-03"/>
    <s v="P-09"/>
    <n v="1"/>
    <s v="Pants"/>
    <x v="1"/>
    <n v="40"/>
    <n v="18"/>
    <x v="4"/>
    <x v="4"/>
    <n v="40"/>
    <n v="22"/>
  </r>
  <r>
    <s v="ORD-1304"/>
    <x v="96"/>
    <s v="R-03"/>
    <s v="P-08"/>
    <n v="1"/>
    <s v="T-Shirt"/>
    <x v="1"/>
    <n v="20"/>
    <n v="8"/>
    <x v="4"/>
    <x v="4"/>
    <n v="20"/>
    <n v="12"/>
  </r>
  <r>
    <s v="ORD-1248"/>
    <x v="96"/>
    <s v="R-04"/>
    <s v="P-10"/>
    <n v="9"/>
    <s v="Shoes"/>
    <x v="1"/>
    <n v="75"/>
    <n v="40"/>
    <x v="3"/>
    <x v="3"/>
    <n v="675"/>
    <n v="315"/>
  </r>
  <r>
    <s v="ORD-1252"/>
    <x v="97"/>
    <s v="R-05"/>
    <s v="P-07"/>
    <n v="9"/>
    <s v="Fan"/>
    <x v="2"/>
    <n v="45"/>
    <n v="25"/>
    <x v="0"/>
    <x v="0"/>
    <n v="405"/>
    <n v="180"/>
  </r>
  <r>
    <s v="ORD-1099"/>
    <x v="97"/>
    <s v="R-03"/>
    <s v="P-08"/>
    <n v="5"/>
    <s v="T-Shirt"/>
    <x v="1"/>
    <n v="20"/>
    <n v="8"/>
    <x v="4"/>
    <x v="4"/>
    <n v="100"/>
    <n v="60"/>
  </r>
  <r>
    <s v="ORD-1443"/>
    <x v="97"/>
    <s v="R-03"/>
    <s v="P-01"/>
    <n v="8"/>
    <s v="Headset"/>
    <x v="0"/>
    <n v="75"/>
    <n v="45"/>
    <x v="4"/>
    <x v="4"/>
    <n v="600"/>
    <n v="240"/>
  </r>
  <r>
    <s v="ORD-1214"/>
    <x v="98"/>
    <s v="R-05"/>
    <s v="P-10"/>
    <n v="4"/>
    <s v="Shoes"/>
    <x v="1"/>
    <n v="75"/>
    <n v="40"/>
    <x v="0"/>
    <x v="0"/>
    <n v="300"/>
    <n v="140"/>
  </r>
  <r>
    <s v="ORD-1207"/>
    <x v="98"/>
    <s v="R-01"/>
    <s v="P-02"/>
    <n v="3"/>
    <s v="Mouse"/>
    <x v="0"/>
    <n v="25"/>
    <n v="12"/>
    <x v="2"/>
    <x v="2"/>
    <n v="75"/>
    <n v="39"/>
  </r>
  <r>
    <s v="ORD-1275"/>
    <x v="99"/>
    <s v="R-01"/>
    <s v="P-01"/>
    <n v="9"/>
    <s v="Headset"/>
    <x v="0"/>
    <n v="75"/>
    <n v="45"/>
    <x v="2"/>
    <x v="2"/>
    <n v="675"/>
    <n v="270"/>
  </r>
  <r>
    <s v="ORD-1015"/>
    <x v="99"/>
    <s v="R-01"/>
    <s v="P-06"/>
    <n v="5"/>
    <s v="Iron"/>
    <x v="2"/>
    <n v="35"/>
    <n v="20"/>
    <x v="2"/>
    <x v="2"/>
    <n v="175"/>
    <n v="75"/>
  </r>
  <r>
    <s v="ORD-1041"/>
    <x v="99"/>
    <s v="R-05"/>
    <s v="P-07"/>
    <n v="5"/>
    <s v="Fan"/>
    <x v="2"/>
    <n v="45"/>
    <n v="25"/>
    <x v="0"/>
    <x v="0"/>
    <n v="225"/>
    <n v="100"/>
  </r>
  <r>
    <s v="ORD-1126"/>
    <x v="99"/>
    <s v="R-01"/>
    <s v="P-10"/>
    <n v="9"/>
    <s v="Shoes"/>
    <x v="1"/>
    <n v="75"/>
    <n v="40"/>
    <x v="2"/>
    <x v="2"/>
    <n v="675"/>
    <n v="315"/>
  </r>
  <r>
    <s v="ORD-1592"/>
    <x v="100"/>
    <s v="R-02"/>
    <s v="P-10"/>
    <n v="5"/>
    <s v="Shoes"/>
    <x v="1"/>
    <n v="75"/>
    <n v="40"/>
    <x v="1"/>
    <x v="1"/>
    <n v="375"/>
    <n v="175"/>
  </r>
  <r>
    <s v="ORD-1162"/>
    <x v="101"/>
    <s v="R-05"/>
    <s v="P-10"/>
    <n v="9"/>
    <s v="Shoes"/>
    <x v="1"/>
    <n v="75"/>
    <n v="40"/>
    <x v="0"/>
    <x v="0"/>
    <n v="675"/>
    <n v="315"/>
  </r>
  <r>
    <s v="ORD-1110"/>
    <x v="102"/>
    <s v="R-03"/>
    <s v="P-04"/>
    <n v="3"/>
    <s v="Webcam"/>
    <x v="0"/>
    <n v="60"/>
    <n v="35"/>
    <x v="4"/>
    <x v="4"/>
    <n v="180"/>
    <n v="75"/>
  </r>
  <r>
    <s v="ORD-1043"/>
    <x v="102"/>
    <s v="R-02"/>
    <s v="P-03"/>
    <n v="1"/>
    <s v="Keyboard"/>
    <x v="0"/>
    <n v="40"/>
    <n v="22"/>
    <x v="1"/>
    <x v="1"/>
    <n v="40"/>
    <n v="18"/>
  </r>
  <r>
    <s v="ORD-1302"/>
    <x v="102"/>
    <s v="R-02"/>
    <s v="P-03"/>
    <n v="8"/>
    <s v="Keyboard"/>
    <x v="0"/>
    <n v="40"/>
    <n v="22"/>
    <x v="1"/>
    <x v="1"/>
    <n v="320"/>
    <n v="144"/>
  </r>
  <r>
    <s v="ORD-1100"/>
    <x v="103"/>
    <s v="R-04"/>
    <s v="P-08"/>
    <n v="6"/>
    <s v="T-Shirt"/>
    <x v="1"/>
    <n v="20"/>
    <n v="8"/>
    <x v="3"/>
    <x v="3"/>
    <n v="120"/>
    <n v="72"/>
  </r>
  <r>
    <s v="ORD-1182"/>
    <x v="104"/>
    <s v="R-05"/>
    <s v="P-07"/>
    <n v="7"/>
    <s v="Fan"/>
    <x v="2"/>
    <n v="45"/>
    <n v="25"/>
    <x v="0"/>
    <x v="0"/>
    <n v="315"/>
    <n v="140"/>
  </r>
  <r>
    <s v="ORD-1102"/>
    <x v="105"/>
    <s v="R-01"/>
    <s v="P-08"/>
    <n v="6"/>
    <s v="T-Shirt"/>
    <x v="1"/>
    <n v="20"/>
    <n v="8"/>
    <x v="2"/>
    <x v="2"/>
    <n v="120"/>
    <n v="72"/>
  </r>
  <r>
    <s v="ORD-1266"/>
    <x v="106"/>
    <s v="R-03"/>
    <s v="P-07"/>
    <n v="4"/>
    <s v="Fan"/>
    <x v="2"/>
    <n v="45"/>
    <n v="25"/>
    <x v="4"/>
    <x v="4"/>
    <n v="180"/>
    <n v="80"/>
  </r>
  <r>
    <s v="ORD-1386"/>
    <x v="107"/>
    <s v="R-04"/>
    <s v="P-04"/>
    <n v="8"/>
    <s v="Webcam"/>
    <x v="0"/>
    <n v="60"/>
    <n v="35"/>
    <x v="3"/>
    <x v="3"/>
    <n v="480"/>
    <n v="200"/>
  </r>
  <r>
    <s v="ORD-1387"/>
    <x v="108"/>
    <s v="R-02"/>
    <s v="P-01"/>
    <n v="3"/>
    <s v="Headset"/>
    <x v="0"/>
    <n v="75"/>
    <n v="45"/>
    <x v="1"/>
    <x v="1"/>
    <n v="225"/>
    <n v="90"/>
  </r>
  <r>
    <s v="ORD-1147"/>
    <x v="108"/>
    <s v="R-03"/>
    <s v="P-10"/>
    <n v="8"/>
    <s v="Shoes"/>
    <x v="1"/>
    <n v="75"/>
    <n v="40"/>
    <x v="4"/>
    <x v="4"/>
    <n v="600"/>
    <n v="280"/>
  </r>
  <r>
    <s v="ORD-1464"/>
    <x v="109"/>
    <s v="R-02"/>
    <s v="P-01"/>
    <n v="4"/>
    <s v="Headset"/>
    <x v="0"/>
    <n v="75"/>
    <n v="45"/>
    <x v="1"/>
    <x v="1"/>
    <n v="300"/>
    <n v="120"/>
  </r>
  <r>
    <s v="ORD-1259"/>
    <x v="109"/>
    <s v="R-05"/>
    <s v="P-08"/>
    <n v="10"/>
    <s v="T-Shirt"/>
    <x v="1"/>
    <n v="20"/>
    <n v="8"/>
    <x v="0"/>
    <x v="0"/>
    <n v="200"/>
    <n v="120"/>
  </r>
  <r>
    <s v="ORD-1425"/>
    <x v="109"/>
    <s v="R-05"/>
    <s v="P-04"/>
    <n v="2"/>
    <s v="Webcam"/>
    <x v="0"/>
    <n v="60"/>
    <n v="35"/>
    <x v="0"/>
    <x v="0"/>
    <n v="120"/>
    <n v="50"/>
  </r>
  <r>
    <s v="ORD-1232"/>
    <x v="109"/>
    <s v="R-03"/>
    <s v="P-03"/>
    <n v="4"/>
    <s v="Keyboard"/>
    <x v="0"/>
    <n v="40"/>
    <n v="22"/>
    <x v="4"/>
    <x v="4"/>
    <n v="160"/>
    <n v="72"/>
  </r>
  <r>
    <s v="ORD-1577"/>
    <x v="109"/>
    <s v="R-04"/>
    <s v="P-01"/>
    <n v="7"/>
    <s v="Headset"/>
    <x v="0"/>
    <n v="75"/>
    <n v="45"/>
    <x v="3"/>
    <x v="3"/>
    <n v="525"/>
    <n v="210"/>
  </r>
  <r>
    <s v="ORD-1583"/>
    <x v="109"/>
    <s v="R-02"/>
    <s v="P-04"/>
    <n v="4"/>
    <s v="Webcam"/>
    <x v="0"/>
    <n v="60"/>
    <n v="35"/>
    <x v="1"/>
    <x v="1"/>
    <n v="240"/>
    <n v="100"/>
  </r>
  <r>
    <s v="ORD-1431"/>
    <x v="110"/>
    <s v="R-02"/>
    <s v="P-01"/>
    <n v="10"/>
    <s v="Headset"/>
    <x v="0"/>
    <n v="75"/>
    <n v="45"/>
    <x v="1"/>
    <x v="1"/>
    <n v="750"/>
    <n v="300"/>
  </r>
  <r>
    <s v="ORD-1598"/>
    <x v="111"/>
    <s v="R-01"/>
    <s v="P-02"/>
    <n v="6"/>
    <s v="Mouse"/>
    <x v="0"/>
    <n v="25"/>
    <n v="12"/>
    <x v="2"/>
    <x v="2"/>
    <n v="150"/>
    <n v="78"/>
  </r>
  <r>
    <s v="ORD-1430"/>
    <x v="112"/>
    <s v="R-02"/>
    <s v="P-10"/>
    <n v="2"/>
    <s v="Shoes"/>
    <x v="1"/>
    <n v="75"/>
    <n v="40"/>
    <x v="1"/>
    <x v="1"/>
    <n v="150"/>
    <n v="70"/>
  </r>
  <r>
    <s v="ORD-1492"/>
    <x v="112"/>
    <s v="R-02"/>
    <s v="P-06"/>
    <n v="10"/>
    <s v="Iron"/>
    <x v="2"/>
    <n v="35"/>
    <n v="20"/>
    <x v="1"/>
    <x v="1"/>
    <n v="350"/>
    <n v="150"/>
  </r>
  <r>
    <s v="ORD-1272"/>
    <x v="112"/>
    <s v="R-03"/>
    <s v="P-08"/>
    <n v="2"/>
    <s v="T-Shirt"/>
    <x v="1"/>
    <n v="20"/>
    <n v="8"/>
    <x v="4"/>
    <x v="4"/>
    <n v="40"/>
    <n v="24"/>
  </r>
  <r>
    <s v="ORD-1324"/>
    <x v="112"/>
    <s v="R-05"/>
    <s v="P-04"/>
    <n v="3"/>
    <s v="Webcam"/>
    <x v="0"/>
    <n v="60"/>
    <n v="35"/>
    <x v="0"/>
    <x v="0"/>
    <n v="180"/>
    <n v="75"/>
  </r>
  <r>
    <s v="ORD-1243"/>
    <x v="112"/>
    <s v="R-02"/>
    <s v="P-09"/>
    <n v="7"/>
    <s v="Pants"/>
    <x v="1"/>
    <n v="40"/>
    <n v="18"/>
    <x v="1"/>
    <x v="1"/>
    <n v="280"/>
    <n v="154"/>
  </r>
  <r>
    <s v="ORD-1244"/>
    <x v="113"/>
    <s v="R-01"/>
    <s v="P-08"/>
    <n v="3"/>
    <s v="T-Shirt"/>
    <x v="1"/>
    <n v="20"/>
    <n v="8"/>
    <x v="2"/>
    <x v="2"/>
    <n v="60"/>
    <n v="36"/>
  </r>
  <r>
    <s v="ORD-1240"/>
    <x v="113"/>
    <s v="R-04"/>
    <s v="P-03"/>
    <n v="6"/>
    <s v="Keyboard"/>
    <x v="0"/>
    <n v="40"/>
    <n v="22"/>
    <x v="3"/>
    <x v="3"/>
    <n v="240"/>
    <n v="108"/>
  </r>
  <r>
    <s v="ORD-1016"/>
    <x v="114"/>
    <s v="R-02"/>
    <s v="P-05"/>
    <n v="6"/>
    <s v="Blender"/>
    <x v="2"/>
    <n v="50"/>
    <n v="30"/>
    <x v="1"/>
    <x v="1"/>
    <n v="300"/>
    <n v="120"/>
  </r>
  <r>
    <s v="ORD-1400"/>
    <x v="114"/>
    <s v="R-01"/>
    <s v="P-04"/>
    <n v="2"/>
    <s v="Webcam"/>
    <x v="0"/>
    <n v="60"/>
    <n v="35"/>
    <x v="2"/>
    <x v="2"/>
    <n v="120"/>
    <n v="50"/>
  </r>
  <r>
    <s v="ORD-1254"/>
    <x v="115"/>
    <s v="R-03"/>
    <s v="P-07"/>
    <n v="2"/>
    <s v="Fan"/>
    <x v="2"/>
    <n v="45"/>
    <n v="25"/>
    <x v="4"/>
    <x v="4"/>
    <n v="90"/>
    <n v="40"/>
  </r>
  <r>
    <s v="ORD-1364"/>
    <x v="115"/>
    <s v="R-04"/>
    <s v="P-01"/>
    <n v="8"/>
    <s v="Headset"/>
    <x v="0"/>
    <n v="75"/>
    <n v="45"/>
    <x v="3"/>
    <x v="3"/>
    <n v="600"/>
    <n v="240"/>
  </r>
  <r>
    <s v="ORD-1548"/>
    <x v="115"/>
    <s v="R-01"/>
    <s v="P-05"/>
    <n v="7"/>
    <s v="Blender"/>
    <x v="2"/>
    <n v="50"/>
    <n v="30"/>
    <x v="2"/>
    <x v="2"/>
    <n v="350"/>
    <n v="140"/>
  </r>
  <r>
    <s v="ORD-1582"/>
    <x v="115"/>
    <s v="R-05"/>
    <s v="P-04"/>
    <n v="5"/>
    <s v="Webcam"/>
    <x v="0"/>
    <n v="60"/>
    <n v="35"/>
    <x v="0"/>
    <x v="0"/>
    <n v="300"/>
    <n v="125"/>
  </r>
  <r>
    <s v="ORD-1276"/>
    <x v="116"/>
    <s v="R-04"/>
    <s v="P-10"/>
    <n v="5"/>
    <s v="Shoes"/>
    <x v="1"/>
    <n v="75"/>
    <n v="40"/>
    <x v="3"/>
    <x v="3"/>
    <n v="375"/>
    <n v="175"/>
  </r>
  <r>
    <s v="ORD-1504"/>
    <x v="116"/>
    <s v="R-04"/>
    <s v="P-10"/>
    <n v="4"/>
    <s v="Shoes"/>
    <x v="1"/>
    <n v="75"/>
    <n v="40"/>
    <x v="3"/>
    <x v="3"/>
    <n v="300"/>
    <n v="140"/>
  </r>
  <r>
    <s v="ORD-1014"/>
    <x v="116"/>
    <s v="R-04"/>
    <s v="P-01"/>
    <n v="9"/>
    <s v="Headset"/>
    <x v="0"/>
    <n v="75"/>
    <n v="45"/>
    <x v="3"/>
    <x v="3"/>
    <n v="675"/>
    <n v="270"/>
  </r>
  <r>
    <s v="ORD-1547"/>
    <x v="116"/>
    <s v="R-04"/>
    <s v="P-07"/>
    <n v="8"/>
    <s v="Fan"/>
    <x v="2"/>
    <n v="45"/>
    <n v="25"/>
    <x v="3"/>
    <x v="3"/>
    <n v="360"/>
    <n v="160"/>
  </r>
  <r>
    <s v="ORD-1189"/>
    <x v="116"/>
    <s v="R-01"/>
    <s v="P-05"/>
    <n v="3"/>
    <s v="Blender"/>
    <x v="2"/>
    <n v="50"/>
    <n v="30"/>
    <x v="2"/>
    <x v="2"/>
    <n v="150"/>
    <n v="60"/>
  </r>
  <r>
    <s v="ORD-1395"/>
    <x v="117"/>
    <s v="R-02"/>
    <s v="P-08"/>
    <n v="4"/>
    <s v="T-Shirt"/>
    <x v="1"/>
    <n v="20"/>
    <n v="8"/>
    <x v="1"/>
    <x v="1"/>
    <n v="80"/>
    <n v="48"/>
  </r>
  <r>
    <s v="ORD-1289"/>
    <x v="117"/>
    <s v="R-03"/>
    <s v="P-03"/>
    <n v="6"/>
    <s v="Keyboard"/>
    <x v="0"/>
    <n v="40"/>
    <n v="22"/>
    <x v="4"/>
    <x v="4"/>
    <n v="240"/>
    <n v="108"/>
  </r>
  <r>
    <s v="ORD-1463"/>
    <x v="118"/>
    <s v="R-02"/>
    <s v="P-04"/>
    <n v="2"/>
    <s v="Webcam"/>
    <x v="0"/>
    <n v="60"/>
    <n v="35"/>
    <x v="1"/>
    <x v="1"/>
    <n v="120"/>
    <n v="50"/>
  </r>
  <r>
    <s v="ORD-1366"/>
    <x v="119"/>
    <s v="R-01"/>
    <s v="P-06"/>
    <n v="9"/>
    <s v="Iron"/>
    <x v="2"/>
    <n v="35"/>
    <n v="20"/>
    <x v="2"/>
    <x v="2"/>
    <n v="315"/>
    <n v="135"/>
  </r>
  <r>
    <s v="ORD-1091"/>
    <x v="120"/>
    <s v="R-01"/>
    <s v="P-03"/>
    <n v="10"/>
    <s v="Keyboard"/>
    <x v="0"/>
    <n v="40"/>
    <n v="22"/>
    <x v="2"/>
    <x v="2"/>
    <n v="400"/>
    <n v="180"/>
  </r>
  <r>
    <s v="ORD-1429"/>
    <x v="121"/>
    <s v="R-02"/>
    <s v="P-01"/>
    <n v="7"/>
    <s v="Headset"/>
    <x v="0"/>
    <n v="75"/>
    <n v="45"/>
    <x v="1"/>
    <x v="1"/>
    <n v="525"/>
    <n v="210"/>
  </r>
  <r>
    <s v="ORD-1332"/>
    <x v="121"/>
    <s v="R-01"/>
    <s v="P-08"/>
    <n v="5"/>
    <s v="T-Shirt"/>
    <x v="1"/>
    <n v="20"/>
    <n v="8"/>
    <x v="2"/>
    <x v="2"/>
    <n v="100"/>
    <n v="60"/>
  </r>
  <r>
    <s v="ORD-1309"/>
    <x v="121"/>
    <s v="R-03"/>
    <s v="P-07"/>
    <n v="10"/>
    <s v="Fan"/>
    <x v="2"/>
    <n v="45"/>
    <n v="25"/>
    <x v="4"/>
    <x v="4"/>
    <n v="450"/>
    <n v="200"/>
  </r>
  <r>
    <s v="ORD-1268"/>
    <x v="122"/>
    <s v="R-04"/>
    <s v="P-09"/>
    <n v="8"/>
    <s v="Pants"/>
    <x v="1"/>
    <n v="40"/>
    <n v="18"/>
    <x v="3"/>
    <x v="3"/>
    <n v="320"/>
    <n v="176"/>
  </r>
  <r>
    <s v="ORD-1218"/>
    <x v="122"/>
    <s v="R-02"/>
    <s v="P-06"/>
    <n v="5"/>
    <s v="Iron"/>
    <x v="2"/>
    <n v="35"/>
    <n v="20"/>
    <x v="1"/>
    <x v="1"/>
    <n v="175"/>
    <n v="75"/>
  </r>
  <r>
    <s v="ORD-1152"/>
    <x v="122"/>
    <s v="R-02"/>
    <s v="P-01"/>
    <n v="10"/>
    <s v="Headset"/>
    <x v="0"/>
    <n v="75"/>
    <n v="45"/>
    <x v="1"/>
    <x v="1"/>
    <n v="750"/>
    <n v="300"/>
  </r>
  <r>
    <s v="ORD-1502"/>
    <x v="122"/>
    <s v="R-01"/>
    <s v="P-03"/>
    <n v="2"/>
    <s v="Keyboard"/>
    <x v="0"/>
    <n v="40"/>
    <n v="22"/>
    <x v="2"/>
    <x v="2"/>
    <n v="80"/>
    <n v="36"/>
  </r>
  <r>
    <s v="ORD-1191"/>
    <x v="122"/>
    <s v="R-02"/>
    <s v="P-03"/>
    <n v="8"/>
    <s v="Keyboard"/>
    <x v="0"/>
    <n v="40"/>
    <n v="22"/>
    <x v="1"/>
    <x v="1"/>
    <n v="320"/>
    <n v="144"/>
  </r>
  <r>
    <s v="ORD-1023"/>
    <x v="123"/>
    <s v="R-04"/>
    <s v="P-08"/>
    <n v="5"/>
    <s v="T-Shirt"/>
    <x v="1"/>
    <n v="20"/>
    <n v="8"/>
    <x v="3"/>
    <x v="3"/>
    <n v="100"/>
    <n v="60"/>
  </r>
  <r>
    <s v="ORD-1348"/>
    <x v="123"/>
    <s v="R-05"/>
    <s v="P-05"/>
    <n v="2"/>
    <s v="Blender"/>
    <x v="2"/>
    <n v="50"/>
    <n v="30"/>
    <x v="0"/>
    <x v="0"/>
    <n v="100"/>
    <n v="40"/>
  </r>
  <r>
    <s v="ORD-1297"/>
    <x v="123"/>
    <s v="R-04"/>
    <s v="P-06"/>
    <n v="8"/>
    <s v="Iron"/>
    <x v="2"/>
    <n v="35"/>
    <n v="20"/>
    <x v="3"/>
    <x v="3"/>
    <n v="280"/>
    <n v="120"/>
  </r>
  <r>
    <s v="ORD-1279"/>
    <x v="123"/>
    <s v="R-04"/>
    <s v="P-04"/>
    <n v="8"/>
    <s v="Webcam"/>
    <x v="0"/>
    <n v="60"/>
    <n v="35"/>
    <x v="3"/>
    <x v="3"/>
    <n v="480"/>
    <n v="200"/>
  </r>
  <r>
    <s v="ORD-1071"/>
    <x v="124"/>
    <s v="R-05"/>
    <s v="P-06"/>
    <n v="5"/>
    <s v="Iron"/>
    <x v="2"/>
    <n v="35"/>
    <n v="20"/>
    <x v="0"/>
    <x v="0"/>
    <n v="175"/>
    <n v="75"/>
  </r>
  <r>
    <s v="ORD-1506"/>
    <x v="125"/>
    <s v="R-02"/>
    <s v="P-09"/>
    <n v="7"/>
    <s v="Pants"/>
    <x v="1"/>
    <n v="40"/>
    <n v="18"/>
    <x v="1"/>
    <x v="1"/>
    <n v="280"/>
    <n v="154"/>
  </r>
  <r>
    <s v="ORD-1294"/>
    <x v="125"/>
    <s v="R-01"/>
    <s v="P-02"/>
    <n v="10"/>
    <s v="Mouse"/>
    <x v="0"/>
    <n v="25"/>
    <n v="12"/>
    <x v="2"/>
    <x v="2"/>
    <n v="250"/>
    <n v="130"/>
  </r>
  <r>
    <s v="ORD-1593"/>
    <x v="125"/>
    <s v="R-04"/>
    <s v="P-08"/>
    <n v="2"/>
    <s v="T-Shirt"/>
    <x v="1"/>
    <n v="20"/>
    <n v="8"/>
    <x v="3"/>
    <x v="3"/>
    <n v="40"/>
    <n v="24"/>
  </r>
  <r>
    <s v="ORD-1104"/>
    <x v="125"/>
    <s v="R-03"/>
    <s v="P-08"/>
    <n v="10"/>
    <s v="T-Shirt"/>
    <x v="1"/>
    <n v="20"/>
    <n v="8"/>
    <x v="4"/>
    <x v="4"/>
    <n v="200"/>
    <n v="120"/>
  </r>
  <r>
    <s v="ORD-1539"/>
    <x v="126"/>
    <s v="R-04"/>
    <s v="P-07"/>
    <n v="3"/>
    <s v="Fan"/>
    <x v="2"/>
    <n v="45"/>
    <n v="25"/>
    <x v="3"/>
    <x v="3"/>
    <n v="135"/>
    <n v="60"/>
  </r>
  <r>
    <s v="ORD-1184"/>
    <x v="127"/>
    <s v="R-03"/>
    <s v="P-02"/>
    <n v="1"/>
    <s v="Mouse"/>
    <x v="0"/>
    <n v="25"/>
    <n v="12"/>
    <x v="4"/>
    <x v="4"/>
    <n v="25"/>
    <n v="13"/>
  </r>
  <r>
    <s v="ORD-1046"/>
    <x v="128"/>
    <s v="R-01"/>
    <s v="P-08"/>
    <n v="2"/>
    <s v="T-Shirt"/>
    <x v="1"/>
    <n v="20"/>
    <n v="8"/>
    <x v="2"/>
    <x v="2"/>
    <n v="40"/>
    <n v="24"/>
  </r>
  <r>
    <s v="ORD-1513"/>
    <x v="129"/>
    <s v="R-02"/>
    <s v="P-08"/>
    <n v="7"/>
    <s v="T-Shirt"/>
    <x v="1"/>
    <n v="20"/>
    <n v="8"/>
    <x v="1"/>
    <x v="1"/>
    <n v="140"/>
    <n v="84"/>
  </r>
  <r>
    <s v="ORD-1296"/>
    <x v="130"/>
    <s v="R-05"/>
    <s v="P-02"/>
    <n v="8"/>
    <s v="Mouse"/>
    <x v="0"/>
    <n v="25"/>
    <n v="12"/>
    <x v="0"/>
    <x v="0"/>
    <n v="200"/>
    <n v="104"/>
  </r>
  <r>
    <s v="ORD-1373"/>
    <x v="131"/>
    <s v="R-04"/>
    <s v="P-07"/>
    <n v="9"/>
    <s v="Fan"/>
    <x v="2"/>
    <n v="45"/>
    <n v="25"/>
    <x v="3"/>
    <x v="3"/>
    <n v="405"/>
    <n v="180"/>
  </r>
  <r>
    <s v="ORD-1031"/>
    <x v="131"/>
    <s v="R-02"/>
    <s v="P-10"/>
    <n v="8"/>
    <s v="Shoes"/>
    <x v="1"/>
    <n v="75"/>
    <n v="40"/>
    <x v="1"/>
    <x v="1"/>
    <n v="600"/>
    <n v="280"/>
  </r>
  <r>
    <s v="ORD-1159"/>
    <x v="131"/>
    <s v="R-03"/>
    <s v="P-08"/>
    <n v="5"/>
    <s v="T-Shirt"/>
    <x v="1"/>
    <n v="20"/>
    <n v="8"/>
    <x v="4"/>
    <x v="4"/>
    <n v="100"/>
    <n v="60"/>
  </r>
  <r>
    <s v="ORD-1406"/>
    <x v="131"/>
    <s v="R-03"/>
    <s v="P-06"/>
    <n v="10"/>
    <s v="Iron"/>
    <x v="2"/>
    <n v="35"/>
    <n v="20"/>
    <x v="4"/>
    <x v="4"/>
    <n v="350"/>
    <n v="150"/>
  </r>
  <r>
    <s v="ORD-1148"/>
    <x v="132"/>
    <s v="R-02"/>
    <s v="P-10"/>
    <n v="8"/>
    <s v="Shoes"/>
    <x v="1"/>
    <n v="75"/>
    <n v="40"/>
    <x v="1"/>
    <x v="1"/>
    <n v="600"/>
    <n v="280"/>
  </r>
  <r>
    <s v="ORD-1188"/>
    <x v="133"/>
    <s v="R-03"/>
    <s v="P-08"/>
    <n v="6"/>
    <s v="T-Shirt"/>
    <x v="1"/>
    <n v="20"/>
    <n v="8"/>
    <x v="4"/>
    <x v="4"/>
    <n v="120"/>
    <n v="72"/>
  </r>
  <r>
    <s v="ORD-1216"/>
    <x v="133"/>
    <s v="R-01"/>
    <s v="P-05"/>
    <n v="9"/>
    <s v="Blender"/>
    <x v="2"/>
    <n v="50"/>
    <n v="30"/>
    <x v="2"/>
    <x v="2"/>
    <n v="450"/>
    <n v="180"/>
  </r>
  <r>
    <s v="ORD-1330"/>
    <x v="133"/>
    <s v="R-05"/>
    <s v="P-04"/>
    <n v="2"/>
    <s v="Webcam"/>
    <x v="0"/>
    <n v="60"/>
    <n v="35"/>
    <x v="0"/>
    <x v="0"/>
    <n v="120"/>
    <n v="50"/>
  </r>
  <r>
    <s v="ORD-1120"/>
    <x v="133"/>
    <s v="R-04"/>
    <s v="P-03"/>
    <n v="3"/>
    <s v="Keyboard"/>
    <x v="0"/>
    <n v="40"/>
    <n v="22"/>
    <x v="3"/>
    <x v="3"/>
    <n v="120"/>
    <n v="54"/>
  </r>
  <r>
    <s v="ORD-1382"/>
    <x v="134"/>
    <s v="R-03"/>
    <s v="P-03"/>
    <n v="6"/>
    <s v="Keyboard"/>
    <x v="0"/>
    <n v="40"/>
    <n v="22"/>
    <x v="4"/>
    <x v="4"/>
    <n v="240"/>
    <n v="108"/>
  </r>
  <r>
    <s v="ORD-1359"/>
    <x v="135"/>
    <s v="R-05"/>
    <s v="P-01"/>
    <n v="4"/>
    <s v="Headset"/>
    <x v="0"/>
    <n v="75"/>
    <n v="45"/>
    <x v="0"/>
    <x v="0"/>
    <n v="300"/>
    <n v="120"/>
  </r>
  <r>
    <s v="ORD-1035"/>
    <x v="136"/>
    <s v="R-02"/>
    <s v="P-09"/>
    <n v="6"/>
    <s v="Pants"/>
    <x v="1"/>
    <n v="40"/>
    <n v="18"/>
    <x v="1"/>
    <x v="1"/>
    <n v="240"/>
    <n v="132"/>
  </r>
  <r>
    <s v="ORD-1306"/>
    <x v="137"/>
    <s v="R-05"/>
    <s v="P-10"/>
    <n v="4"/>
    <s v="Shoes"/>
    <x v="1"/>
    <n v="75"/>
    <n v="40"/>
    <x v="0"/>
    <x v="0"/>
    <n v="300"/>
    <n v="140"/>
  </r>
  <r>
    <s v="ORD-1371"/>
    <x v="137"/>
    <s v="R-03"/>
    <s v="P-09"/>
    <n v="10"/>
    <s v="Pants"/>
    <x v="1"/>
    <n v="40"/>
    <n v="18"/>
    <x v="4"/>
    <x v="4"/>
    <n v="400"/>
    <n v="220"/>
  </r>
  <r>
    <s v="ORD-1567"/>
    <x v="138"/>
    <s v="R-05"/>
    <s v="P-06"/>
    <n v="10"/>
    <s v="Iron"/>
    <x v="2"/>
    <n v="35"/>
    <n v="20"/>
    <x v="0"/>
    <x v="0"/>
    <n v="350"/>
    <n v="150"/>
  </r>
  <r>
    <s v="ORD-1543"/>
    <x v="138"/>
    <s v="R-01"/>
    <s v="P-07"/>
    <n v="3"/>
    <s v="Fan"/>
    <x v="2"/>
    <n v="45"/>
    <n v="25"/>
    <x v="2"/>
    <x v="2"/>
    <n v="135"/>
    <n v="60"/>
  </r>
  <r>
    <s v="ORD-1505"/>
    <x v="139"/>
    <s v="R-05"/>
    <s v="P-09"/>
    <n v="7"/>
    <s v="Pants"/>
    <x v="1"/>
    <n v="40"/>
    <n v="18"/>
    <x v="0"/>
    <x v="0"/>
    <n v="280"/>
    <n v="154"/>
  </r>
  <r>
    <s v="ORD-1137"/>
    <x v="140"/>
    <s v="R-01"/>
    <s v="P-05"/>
    <n v="7"/>
    <s v="Blender"/>
    <x v="2"/>
    <n v="50"/>
    <n v="30"/>
    <x v="2"/>
    <x v="2"/>
    <n v="350"/>
    <n v="140"/>
  </r>
  <r>
    <s v="ORD-1508"/>
    <x v="140"/>
    <s v="R-04"/>
    <s v="P-03"/>
    <n v="7"/>
    <s v="Keyboard"/>
    <x v="0"/>
    <n v="40"/>
    <n v="22"/>
    <x v="3"/>
    <x v="3"/>
    <n v="280"/>
    <n v="126"/>
  </r>
  <r>
    <s v="ORD-1489"/>
    <x v="141"/>
    <s v="R-02"/>
    <s v="P-06"/>
    <n v="7"/>
    <s v="Iron"/>
    <x v="2"/>
    <n v="35"/>
    <n v="20"/>
    <x v="1"/>
    <x v="1"/>
    <n v="245"/>
    <n v="105"/>
  </r>
  <r>
    <s v="ORD-1194"/>
    <x v="141"/>
    <s v="R-02"/>
    <s v="P-07"/>
    <n v="10"/>
    <s v="Fan"/>
    <x v="2"/>
    <n v="45"/>
    <n v="25"/>
    <x v="1"/>
    <x v="1"/>
    <n v="450"/>
    <n v="200"/>
  </r>
  <r>
    <s v="ORD-1405"/>
    <x v="141"/>
    <s v="R-05"/>
    <s v="P-07"/>
    <n v="10"/>
    <s v="Fan"/>
    <x v="2"/>
    <n v="45"/>
    <n v="25"/>
    <x v="0"/>
    <x v="0"/>
    <n v="450"/>
    <n v="200"/>
  </r>
  <r>
    <s v="ORD-1341"/>
    <x v="142"/>
    <s v="R-03"/>
    <s v="P-02"/>
    <n v="4"/>
    <s v="Mouse"/>
    <x v="0"/>
    <n v="25"/>
    <n v="12"/>
    <x v="4"/>
    <x v="4"/>
    <n v="100"/>
    <n v="52"/>
  </r>
  <r>
    <s v="ORD-1587"/>
    <x v="142"/>
    <s v="R-02"/>
    <s v="P-06"/>
    <n v="1"/>
    <s v="Iron"/>
    <x v="2"/>
    <n v="35"/>
    <n v="20"/>
    <x v="1"/>
    <x v="1"/>
    <n v="35"/>
    <n v="15"/>
  </r>
  <r>
    <s v="ORD-1553"/>
    <x v="143"/>
    <s v="R-03"/>
    <s v="P-06"/>
    <n v="7"/>
    <s v="Iron"/>
    <x v="2"/>
    <n v="35"/>
    <n v="20"/>
    <x v="4"/>
    <x v="4"/>
    <n v="245"/>
    <n v="105"/>
  </r>
  <r>
    <s v="ORD-1223"/>
    <x v="144"/>
    <s v="R-05"/>
    <s v="P-10"/>
    <n v="2"/>
    <s v="Shoes"/>
    <x v="1"/>
    <n v="75"/>
    <n v="40"/>
    <x v="0"/>
    <x v="0"/>
    <n v="150"/>
    <n v="70"/>
  </r>
  <r>
    <s v="ORD-1466"/>
    <x v="145"/>
    <s v="R-04"/>
    <s v="P-10"/>
    <n v="7"/>
    <s v="Shoes"/>
    <x v="1"/>
    <n v="75"/>
    <n v="40"/>
    <x v="3"/>
    <x v="3"/>
    <n v="525"/>
    <n v="245"/>
  </r>
  <r>
    <s v="ORD-1396"/>
    <x v="146"/>
    <s v="R-02"/>
    <s v="P-02"/>
    <n v="7"/>
    <s v="Mouse"/>
    <x v="0"/>
    <n v="25"/>
    <n v="12"/>
    <x v="1"/>
    <x v="1"/>
    <n v="175"/>
    <n v="91"/>
  </r>
  <r>
    <s v="ORD-1589"/>
    <x v="146"/>
    <s v="R-02"/>
    <s v="P-03"/>
    <n v="1"/>
    <s v="Keyboard"/>
    <x v="0"/>
    <n v="40"/>
    <n v="22"/>
    <x v="1"/>
    <x v="1"/>
    <n v="40"/>
    <n v="18"/>
  </r>
  <r>
    <s v="ORD-1154"/>
    <x v="147"/>
    <s v="R-05"/>
    <s v="P-08"/>
    <n v="9"/>
    <s v="T-Shirt"/>
    <x v="1"/>
    <n v="20"/>
    <n v="8"/>
    <x v="0"/>
    <x v="0"/>
    <n v="180"/>
    <n v="108"/>
  </r>
  <r>
    <s v="ORD-1204"/>
    <x v="147"/>
    <s v="R-04"/>
    <s v="P-10"/>
    <n v="6"/>
    <s v="Shoes"/>
    <x v="1"/>
    <n v="75"/>
    <n v="40"/>
    <x v="3"/>
    <x v="3"/>
    <n v="450"/>
    <n v="210"/>
  </r>
  <r>
    <s v="ORD-1565"/>
    <x v="147"/>
    <s v="R-04"/>
    <s v="P-02"/>
    <n v="8"/>
    <s v="Mouse"/>
    <x v="0"/>
    <n v="25"/>
    <n v="12"/>
    <x v="3"/>
    <x v="3"/>
    <n v="200"/>
    <n v="104"/>
  </r>
  <r>
    <s v="ORD-1236"/>
    <x v="147"/>
    <s v="R-01"/>
    <s v="P-01"/>
    <n v="9"/>
    <s v="Headset"/>
    <x v="0"/>
    <n v="75"/>
    <n v="45"/>
    <x v="2"/>
    <x v="2"/>
    <n v="675"/>
    <n v="270"/>
  </r>
  <r>
    <s v="ORD-1032"/>
    <x v="148"/>
    <s v="R-02"/>
    <s v="P-05"/>
    <n v="7"/>
    <s v="Blender"/>
    <x v="2"/>
    <n v="50"/>
    <n v="30"/>
    <x v="1"/>
    <x v="1"/>
    <n v="350"/>
    <n v="140"/>
  </r>
  <r>
    <s v="ORD-1089"/>
    <x v="148"/>
    <s v="R-01"/>
    <s v="P-02"/>
    <n v="4"/>
    <s v="Mouse"/>
    <x v="0"/>
    <n v="25"/>
    <n v="12"/>
    <x v="2"/>
    <x v="2"/>
    <n v="100"/>
    <n v="52"/>
  </r>
  <r>
    <s v="ORD-1344"/>
    <x v="148"/>
    <s v="R-04"/>
    <s v="P-09"/>
    <n v="7"/>
    <s v="Pants"/>
    <x v="1"/>
    <n v="40"/>
    <n v="18"/>
    <x v="3"/>
    <x v="3"/>
    <n v="280"/>
    <n v="154"/>
  </r>
  <r>
    <s v="ORD-1005"/>
    <x v="149"/>
    <s v="R-03"/>
    <s v="P-08"/>
    <n v="1"/>
    <s v="T-Shirt"/>
    <x v="1"/>
    <n v="20"/>
    <n v="8"/>
    <x v="4"/>
    <x v="4"/>
    <n v="20"/>
    <n v="12"/>
  </r>
  <r>
    <s v="ORD-1456"/>
    <x v="149"/>
    <s v="R-02"/>
    <s v="P-05"/>
    <n v="7"/>
    <s v="Blender"/>
    <x v="2"/>
    <n v="50"/>
    <n v="30"/>
    <x v="1"/>
    <x v="1"/>
    <n v="350"/>
    <n v="140"/>
  </r>
  <r>
    <s v="ORD-1034"/>
    <x v="150"/>
    <s v="R-02"/>
    <s v="P-01"/>
    <n v="5"/>
    <s v="Headset"/>
    <x v="0"/>
    <n v="75"/>
    <n v="45"/>
    <x v="1"/>
    <x v="1"/>
    <n v="375"/>
    <n v="150"/>
  </r>
  <r>
    <s v="ORD-1173"/>
    <x v="150"/>
    <s v="R-04"/>
    <s v="P-06"/>
    <n v="6"/>
    <s v="Iron"/>
    <x v="2"/>
    <n v="35"/>
    <n v="20"/>
    <x v="3"/>
    <x v="3"/>
    <n v="210"/>
    <n v="90"/>
  </r>
  <r>
    <s v="ORD-1549"/>
    <x v="150"/>
    <s v="R-04"/>
    <s v="P-04"/>
    <n v="4"/>
    <s v="Webcam"/>
    <x v="0"/>
    <n v="60"/>
    <n v="35"/>
    <x v="3"/>
    <x v="3"/>
    <n v="240"/>
    <n v="100"/>
  </r>
  <r>
    <s v="ORD-1079"/>
    <x v="150"/>
    <s v="R-02"/>
    <s v="P-07"/>
    <n v="8"/>
    <s v="Fan"/>
    <x v="2"/>
    <n v="45"/>
    <n v="25"/>
    <x v="1"/>
    <x v="1"/>
    <n v="360"/>
    <n v="160"/>
  </r>
  <r>
    <s v="ORD-1398"/>
    <x v="150"/>
    <s v="R-05"/>
    <s v="P-09"/>
    <n v="6"/>
    <s v="Pants"/>
    <x v="1"/>
    <n v="40"/>
    <n v="18"/>
    <x v="0"/>
    <x v="0"/>
    <n v="240"/>
    <n v="132"/>
  </r>
  <r>
    <s v="ORD-1068"/>
    <x v="151"/>
    <s v="R-03"/>
    <s v="P-02"/>
    <n v="10"/>
    <s v="Mouse"/>
    <x v="0"/>
    <n v="25"/>
    <n v="12"/>
    <x v="4"/>
    <x v="4"/>
    <n v="250"/>
    <n v="130"/>
  </r>
  <r>
    <s v="ORD-1346"/>
    <x v="151"/>
    <s v="R-01"/>
    <s v="P-06"/>
    <n v="9"/>
    <s v="Iron"/>
    <x v="2"/>
    <n v="35"/>
    <n v="20"/>
    <x v="2"/>
    <x v="2"/>
    <n v="315"/>
    <n v="135"/>
  </r>
  <r>
    <s v="ORD-1541"/>
    <x v="152"/>
    <s v="R-02"/>
    <s v="P-10"/>
    <n v="9"/>
    <s v="Shoes"/>
    <x v="1"/>
    <n v="75"/>
    <n v="40"/>
    <x v="1"/>
    <x v="1"/>
    <n v="675"/>
    <n v="315"/>
  </r>
  <r>
    <s v="ORD-1327"/>
    <x v="152"/>
    <s v="R-02"/>
    <s v="P-02"/>
    <n v="2"/>
    <s v="Mouse"/>
    <x v="0"/>
    <n v="25"/>
    <n v="12"/>
    <x v="1"/>
    <x v="1"/>
    <n v="50"/>
    <n v="26"/>
  </r>
  <r>
    <s v="ORD-1457"/>
    <x v="152"/>
    <s v="R-03"/>
    <s v="P-07"/>
    <n v="5"/>
    <s v="Fan"/>
    <x v="2"/>
    <n v="45"/>
    <n v="25"/>
    <x v="4"/>
    <x v="4"/>
    <n v="225"/>
    <n v="100"/>
  </r>
  <r>
    <s v="ORD-1021"/>
    <x v="152"/>
    <s v="R-03"/>
    <s v="P-07"/>
    <n v="9"/>
    <s v="Fan"/>
    <x v="2"/>
    <n v="45"/>
    <n v="25"/>
    <x v="4"/>
    <x v="4"/>
    <n v="405"/>
    <n v="180"/>
  </r>
  <r>
    <s v="ORD-1292"/>
    <x v="153"/>
    <s v="R-02"/>
    <s v="P-09"/>
    <n v="8"/>
    <s v="Pants"/>
    <x v="1"/>
    <n v="40"/>
    <n v="18"/>
    <x v="1"/>
    <x v="1"/>
    <n v="320"/>
    <n v="176"/>
  </r>
  <r>
    <s v="ORD-1303"/>
    <x v="154"/>
    <s v="R-02"/>
    <s v="P-08"/>
    <n v="1"/>
    <s v="T-Shirt"/>
    <x v="1"/>
    <n v="20"/>
    <n v="8"/>
    <x v="1"/>
    <x v="1"/>
    <n v="20"/>
    <n v="12"/>
  </r>
  <r>
    <s v="ORD-1532"/>
    <x v="155"/>
    <s v="R-01"/>
    <s v="P-04"/>
    <n v="1"/>
    <s v="Webcam"/>
    <x v="0"/>
    <n v="60"/>
    <n v="35"/>
    <x v="2"/>
    <x v="2"/>
    <n v="60"/>
    <n v="25"/>
  </r>
  <r>
    <s v="ORD-1417"/>
    <x v="155"/>
    <s v="R-03"/>
    <s v="P-06"/>
    <n v="5"/>
    <s v="Iron"/>
    <x v="2"/>
    <n v="35"/>
    <n v="20"/>
    <x v="4"/>
    <x v="4"/>
    <n v="175"/>
    <n v="75"/>
  </r>
  <r>
    <s v="ORD-1181"/>
    <x v="156"/>
    <s v="R-03"/>
    <s v="P-04"/>
    <n v="1"/>
    <s v="Webcam"/>
    <x v="0"/>
    <n v="60"/>
    <n v="35"/>
    <x v="4"/>
    <x v="4"/>
    <n v="60"/>
    <n v="25"/>
  </r>
  <r>
    <s v="ORD-1219"/>
    <x v="156"/>
    <s v="R-03"/>
    <s v="P-09"/>
    <n v="6"/>
    <s v="Pants"/>
    <x v="1"/>
    <n v="40"/>
    <n v="18"/>
    <x v="4"/>
    <x v="4"/>
    <n v="240"/>
    <n v="132"/>
  </r>
  <r>
    <s v="ORD-1230"/>
    <x v="156"/>
    <s v="R-05"/>
    <s v="P-08"/>
    <n v="1"/>
    <s v="T-Shirt"/>
    <x v="1"/>
    <n v="20"/>
    <n v="8"/>
    <x v="0"/>
    <x v="0"/>
    <n v="20"/>
    <n v="12"/>
  </r>
  <r>
    <s v="ORD-1246"/>
    <x v="157"/>
    <s v="R-05"/>
    <s v="P-06"/>
    <n v="6"/>
    <s v="Iron"/>
    <x v="2"/>
    <n v="35"/>
    <n v="20"/>
    <x v="0"/>
    <x v="0"/>
    <n v="210"/>
    <n v="90"/>
  </r>
  <r>
    <s v="ORD-1234"/>
    <x v="158"/>
    <s v="R-01"/>
    <s v="P-10"/>
    <n v="2"/>
    <s v="Shoes"/>
    <x v="1"/>
    <n v="75"/>
    <n v="40"/>
    <x v="2"/>
    <x v="2"/>
    <n v="150"/>
    <n v="70"/>
  </r>
  <r>
    <s v="ORD-1111"/>
    <x v="158"/>
    <s v="R-01"/>
    <s v="P-06"/>
    <n v="2"/>
    <s v="Iron"/>
    <x v="2"/>
    <n v="35"/>
    <n v="20"/>
    <x v="2"/>
    <x v="2"/>
    <n v="70"/>
    <n v="30"/>
  </r>
  <r>
    <s v="ORD-1072"/>
    <x v="159"/>
    <s v="R-01"/>
    <s v="P-05"/>
    <n v="9"/>
    <s v="Blender"/>
    <x v="2"/>
    <n v="50"/>
    <n v="30"/>
    <x v="2"/>
    <x v="2"/>
    <n v="450"/>
    <n v="180"/>
  </r>
  <r>
    <s v="ORD-1222"/>
    <x v="160"/>
    <s v="R-02"/>
    <s v="P-01"/>
    <n v="10"/>
    <s v="Headset"/>
    <x v="0"/>
    <n v="75"/>
    <n v="45"/>
    <x v="1"/>
    <x v="1"/>
    <n v="750"/>
    <n v="300"/>
  </r>
  <r>
    <s v="ORD-1473"/>
    <x v="161"/>
    <s v="R-02"/>
    <s v="P-09"/>
    <n v="10"/>
    <s v="Pants"/>
    <x v="1"/>
    <n v="40"/>
    <n v="18"/>
    <x v="1"/>
    <x v="1"/>
    <n v="400"/>
    <n v="220"/>
  </r>
  <r>
    <s v="ORD-1573"/>
    <x v="162"/>
    <s v="R-05"/>
    <s v="P-07"/>
    <n v="2"/>
    <s v="Fan"/>
    <x v="2"/>
    <n v="45"/>
    <n v="25"/>
    <x v="0"/>
    <x v="0"/>
    <n v="90"/>
    <n v="40"/>
  </r>
  <r>
    <s v="ORD-1059"/>
    <x v="162"/>
    <s v="R-05"/>
    <s v="P-04"/>
    <n v="10"/>
    <s v="Webcam"/>
    <x v="0"/>
    <n v="60"/>
    <n v="35"/>
    <x v="0"/>
    <x v="0"/>
    <n v="600"/>
    <n v="250"/>
  </r>
  <r>
    <s v="ORD-1133"/>
    <x v="163"/>
    <s v="R-03"/>
    <s v="P-07"/>
    <n v="3"/>
    <s v="Fan"/>
    <x v="2"/>
    <n v="45"/>
    <n v="25"/>
    <x v="4"/>
    <x v="4"/>
    <n v="135"/>
    <n v="60"/>
  </r>
  <r>
    <s v="ORD-1295"/>
    <x v="164"/>
    <s v="R-01"/>
    <s v="P-08"/>
    <n v="9"/>
    <s v="T-Shirt"/>
    <x v="1"/>
    <n v="20"/>
    <n v="8"/>
    <x v="2"/>
    <x v="2"/>
    <n v="180"/>
    <n v="108"/>
  </r>
  <r>
    <s v="ORD-1082"/>
    <x v="164"/>
    <s v="R-03"/>
    <s v="P-02"/>
    <n v="10"/>
    <s v="Mouse"/>
    <x v="0"/>
    <n v="25"/>
    <n v="12"/>
    <x v="4"/>
    <x v="4"/>
    <n v="250"/>
    <n v="130"/>
  </r>
  <r>
    <s v="ORD-1274"/>
    <x v="164"/>
    <s v="R-01"/>
    <s v="P-01"/>
    <n v="5"/>
    <s v="Headset"/>
    <x v="0"/>
    <n v="75"/>
    <n v="45"/>
    <x v="2"/>
    <x v="2"/>
    <n v="375"/>
    <n v="150"/>
  </r>
  <r>
    <s v="ORD-1081"/>
    <x v="165"/>
    <s v="R-03"/>
    <s v="P-07"/>
    <n v="3"/>
    <s v="Fan"/>
    <x v="2"/>
    <n v="45"/>
    <n v="25"/>
    <x v="4"/>
    <x v="4"/>
    <n v="135"/>
    <n v="60"/>
  </r>
  <r>
    <s v="ORD-1122"/>
    <x v="166"/>
    <s v="R-04"/>
    <s v="P-08"/>
    <n v="9"/>
    <s v="T-Shirt"/>
    <x v="1"/>
    <n v="20"/>
    <n v="8"/>
    <x v="3"/>
    <x v="3"/>
    <n v="180"/>
    <n v="108"/>
  </r>
  <r>
    <s v="ORD-1594"/>
    <x v="167"/>
    <s v="R-05"/>
    <s v="P-05"/>
    <n v="2"/>
    <s v="Blender"/>
    <x v="2"/>
    <n v="50"/>
    <n v="30"/>
    <x v="0"/>
    <x v="0"/>
    <n v="100"/>
    <n v="40"/>
  </r>
  <r>
    <s v="ORD-1524"/>
    <x v="167"/>
    <s v="R-02"/>
    <s v="P-01"/>
    <n v="10"/>
    <s v="Headset"/>
    <x v="0"/>
    <n v="75"/>
    <n v="45"/>
    <x v="1"/>
    <x v="1"/>
    <n v="750"/>
    <n v="300"/>
  </r>
  <r>
    <s v="ORD-1392"/>
    <x v="167"/>
    <s v="R-02"/>
    <s v="P-06"/>
    <n v="3"/>
    <s v="Iron"/>
    <x v="2"/>
    <n v="35"/>
    <n v="20"/>
    <x v="1"/>
    <x v="1"/>
    <n v="105"/>
    <n v="45"/>
  </r>
  <r>
    <s v="ORD-1009"/>
    <x v="167"/>
    <s v="R-03"/>
    <s v="P-10"/>
    <n v="10"/>
    <s v="Shoes"/>
    <x v="1"/>
    <n v="75"/>
    <n v="40"/>
    <x v="4"/>
    <x v="4"/>
    <n v="750"/>
    <n v="350"/>
  </r>
  <r>
    <s v="ORD-1077"/>
    <x v="167"/>
    <s v="R-04"/>
    <s v="P-01"/>
    <n v="8"/>
    <s v="Headset"/>
    <x v="0"/>
    <n v="75"/>
    <n v="45"/>
    <x v="3"/>
    <x v="3"/>
    <n v="600"/>
    <n v="240"/>
  </r>
  <r>
    <s v="ORD-1117"/>
    <x v="168"/>
    <s v="R-03"/>
    <s v="P-01"/>
    <n v="5"/>
    <s v="Headset"/>
    <x v="0"/>
    <n v="75"/>
    <n v="45"/>
    <x v="4"/>
    <x v="4"/>
    <n v="375"/>
    <n v="150"/>
  </r>
  <r>
    <s v="ORD-1087"/>
    <x v="169"/>
    <s v="R-05"/>
    <s v="P-04"/>
    <n v="9"/>
    <s v="Webcam"/>
    <x v="0"/>
    <n v="60"/>
    <n v="35"/>
    <x v="0"/>
    <x v="0"/>
    <n v="540"/>
    <n v="225"/>
  </r>
  <r>
    <s v="ORD-1563"/>
    <x v="169"/>
    <s v="R-04"/>
    <s v="P-07"/>
    <n v="5"/>
    <s v="Fan"/>
    <x v="2"/>
    <n v="45"/>
    <n v="25"/>
    <x v="3"/>
    <x v="3"/>
    <n v="225"/>
    <n v="100"/>
  </r>
  <r>
    <s v="ORD-1536"/>
    <x v="169"/>
    <s v="R-05"/>
    <s v="P-02"/>
    <n v="4"/>
    <s v="Mouse"/>
    <x v="0"/>
    <n v="25"/>
    <n v="12"/>
    <x v="0"/>
    <x v="0"/>
    <n v="100"/>
    <n v="52"/>
  </r>
  <r>
    <s v="ORD-1556"/>
    <x v="169"/>
    <s v="R-05"/>
    <s v="P-10"/>
    <n v="7"/>
    <s v="Shoes"/>
    <x v="1"/>
    <n v="75"/>
    <n v="40"/>
    <x v="0"/>
    <x v="0"/>
    <n v="525"/>
    <n v="245"/>
  </r>
  <r>
    <s v="ORD-1069"/>
    <x v="170"/>
    <s v="R-03"/>
    <s v="P-03"/>
    <n v="5"/>
    <s v="Keyboard"/>
    <x v="0"/>
    <n v="40"/>
    <n v="22"/>
    <x v="4"/>
    <x v="4"/>
    <n v="200"/>
    <n v="90"/>
  </r>
  <r>
    <s v="ORD-1217"/>
    <x v="170"/>
    <s v="R-02"/>
    <s v="P-07"/>
    <n v="5"/>
    <s v="Fan"/>
    <x v="2"/>
    <n v="45"/>
    <n v="25"/>
    <x v="1"/>
    <x v="1"/>
    <n v="225"/>
    <n v="100"/>
  </r>
  <r>
    <s v="ORD-1474"/>
    <x v="170"/>
    <s v="R-02"/>
    <s v="P-09"/>
    <n v="10"/>
    <s v="Pants"/>
    <x v="1"/>
    <n v="40"/>
    <n v="18"/>
    <x v="1"/>
    <x v="1"/>
    <n v="400"/>
    <n v="220"/>
  </r>
  <r>
    <s v="ORD-1129"/>
    <x v="170"/>
    <s v="R-01"/>
    <s v="P-09"/>
    <n v="1"/>
    <s v="Pants"/>
    <x v="1"/>
    <n v="40"/>
    <n v="18"/>
    <x v="2"/>
    <x v="2"/>
    <n v="40"/>
    <n v="22"/>
  </r>
  <r>
    <s v="ORD-1468"/>
    <x v="171"/>
    <s v="R-01"/>
    <s v="P-10"/>
    <n v="10"/>
    <s v="Shoes"/>
    <x v="1"/>
    <n v="75"/>
    <n v="40"/>
    <x v="2"/>
    <x v="2"/>
    <n v="750"/>
    <n v="350"/>
  </r>
  <r>
    <s v="ORD-1208"/>
    <x v="171"/>
    <s v="R-01"/>
    <s v="P-09"/>
    <n v="8"/>
    <s v="Pants"/>
    <x v="1"/>
    <n v="40"/>
    <n v="18"/>
    <x v="2"/>
    <x v="2"/>
    <n v="320"/>
    <n v="176"/>
  </r>
  <r>
    <s v="ORD-1331"/>
    <x v="171"/>
    <s v="R-04"/>
    <s v="P-06"/>
    <n v="3"/>
    <s v="Iron"/>
    <x v="2"/>
    <n v="35"/>
    <n v="20"/>
    <x v="3"/>
    <x v="3"/>
    <n v="105"/>
    <n v="45"/>
  </r>
  <r>
    <s v="ORD-1595"/>
    <x v="172"/>
    <s v="R-03"/>
    <s v="P-10"/>
    <n v="1"/>
    <s v="Shoes"/>
    <x v="1"/>
    <n v="75"/>
    <n v="40"/>
    <x v="4"/>
    <x v="4"/>
    <n v="75"/>
    <n v="35"/>
  </r>
  <r>
    <s v="ORD-1480"/>
    <x v="173"/>
    <s v="R-01"/>
    <s v="P-07"/>
    <n v="2"/>
    <s v="Fan"/>
    <x v="2"/>
    <n v="45"/>
    <n v="25"/>
    <x v="2"/>
    <x v="2"/>
    <n v="90"/>
    <n v="40"/>
  </r>
  <r>
    <s v="ORD-1144"/>
    <x v="173"/>
    <s v="R-03"/>
    <s v="P-03"/>
    <n v="3"/>
    <s v="Keyboard"/>
    <x v="0"/>
    <n v="40"/>
    <n v="22"/>
    <x v="4"/>
    <x v="4"/>
    <n v="120"/>
    <n v="54"/>
  </r>
  <r>
    <s v="ORD-1490"/>
    <x v="174"/>
    <s v="R-01"/>
    <s v="P-01"/>
    <n v="7"/>
    <s v="Headset"/>
    <x v="0"/>
    <n v="75"/>
    <n v="45"/>
    <x v="2"/>
    <x v="2"/>
    <n v="525"/>
    <n v="210"/>
  </r>
  <r>
    <s v="ORD-1590"/>
    <x v="174"/>
    <s v="R-04"/>
    <s v="P-04"/>
    <n v="9"/>
    <s v="Webcam"/>
    <x v="0"/>
    <n v="60"/>
    <n v="35"/>
    <x v="3"/>
    <x v="3"/>
    <n v="540"/>
    <n v="225"/>
  </r>
  <r>
    <s v="ORD-1354"/>
    <x v="174"/>
    <s v="R-01"/>
    <s v="P-01"/>
    <n v="9"/>
    <s v="Headset"/>
    <x v="0"/>
    <n v="75"/>
    <n v="45"/>
    <x v="2"/>
    <x v="2"/>
    <n v="675"/>
    <n v="270"/>
  </r>
  <r>
    <s v="ORD-1574"/>
    <x v="174"/>
    <s v="R-03"/>
    <s v="P-06"/>
    <n v="8"/>
    <s v="Iron"/>
    <x v="2"/>
    <n v="35"/>
    <n v="20"/>
    <x v="4"/>
    <x v="4"/>
    <n v="280"/>
    <n v="120"/>
  </r>
  <r>
    <s v="ORD-1211"/>
    <x v="175"/>
    <s v="R-03"/>
    <s v="P-04"/>
    <n v="10"/>
    <s v="Webcam"/>
    <x v="0"/>
    <n v="60"/>
    <n v="35"/>
    <x v="4"/>
    <x v="4"/>
    <n v="600"/>
    <n v="250"/>
  </r>
  <r>
    <s v="ORD-1550"/>
    <x v="175"/>
    <s v="R-04"/>
    <s v="P-06"/>
    <n v="7"/>
    <s v="Iron"/>
    <x v="2"/>
    <n v="35"/>
    <n v="20"/>
    <x v="3"/>
    <x v="3"/>
    <n v="245"/>
    <n v="105"/>
  </r>
  <r>
    <s v="ORD-1185"/>
    <x v="176"/>
    <s v="R-04"/>
    <s v="P-02"/>
    <n v="7"/>
    <s v="Mouse"/>
    <x v="0"/>
    <n v="25"/>
    <n v="12"/>
    <x v="3"/>
    <x v="3"/>
    <n v="175"/>
    <n v="91"/>
  </r>
  <r>
    <s v="ORD-1212"/>
    <x v="176"/>
    <s v="R-02"/>
    <s v="P-02"/>
    <n v="7"/>
    <s v="Mouse"/>
    <x v="0"/>
    <n v="25"/>
    <n v="12"/>
    <x v="1"/>
    <x v="1"/>
    <n v="175"/>
    <n v="91"/>
  </r>
  <r>
    <s v="ORD-1174"/>
    <x v="176"/>
    <s v="R-04"/>
    <s v="P-08"/>
    <n v="1"/>
    <s v="T-Shirt"/>
    <x v="1"/>
    <n v="20"/>
    <n v="8"/>
    <x v="3"/>
    <x v="3"/>
    <n v="20"/>
    <n v="12"/>
  </r>
  <r>
    <s v="ORD-1317"/>
    <x v="177"/>
    <s v="R-01"/>
    <s v="P-02"/>
    <n v="5"/>
    <s v="Mouse"/>
    <x v="0"/>
    <n v="25"/>
    <n v="12"/>
    <x v="2"/>
    <x v="2"/>
    <n v="125"/>
    <n v="65"/>
  </r>
  <r>
    <s v="ORD-1124"/>
    <x v="178"/>
    <s v="R-05"/>
    <s v="P-05"/>
    <n v="3"/>
    <s v="Blender"/>
    <x v="2"/>
    <n v="50"/>
    <n v="30"/>
    <x v="0"/>
    <x v="0"/>
    <n v="150"/>
    <n v="60"/>
  </r>
  <r>
    <s v="ORD-1542"/>
    <x v="178"/>
    <s v="R-02"/>
    <s v="P-02"/>
    <n v="8"/>
    <s v="Mouse"/>
    <x v="0"/>
    <n v="25"/>
    <n v="12"/>
    <x v="1"/>
    <x v="1"/>
    <n v="200"/>
    <n v="104"/>
  </r>
  <r>
    <s v="ORD-1286"/>
    <x v="178"/>
    <s v="R-04"/>
    <s v="P-10"/>
    <n v="1"/>
    <s v="Shoes"/>
    <x v="1"/>
    <n v="75"/>
    <n v="40"/>
    <x v="3"/>
    <x v="3"/>
    <n v="75"/>
    <n v="35"/>
  </r>
  <r>
    <s v="ORD-1438"/>
    <x v="179"/>
    <s v="R-05"/>
    <s v="P-09"/>
    <n v="5"/>
    <s v="Pants"/>
    <x v="1"/>
    <n v="40"/>
    <n v="18"/>
    <x v="0"/>
    <x v="0"/>
    <n v="200"/>
    <n v="110"/>
  </r>
  <r>
    <s v="ORD-1311"/>
    <x v="180"/>
    <s v="R-02"/>
    <s v="P-04"/>
    <n v="2"/>
    <s v="Webcam"/>
    <x v="0"/>
    <n v="60"/>
    <n v="35"/>
    <x v="1"/>
    <x v="1"/>
    <n v="120"/>
    <n v="50"/>
  </r>
  <r>
    <s v="ORD-1145"/>
    <x v="181"/>
    <s v="R-04"/>
    <s v="P-04"/>
    <n v="10"/>
    <s v="Webcam"/>
    <x v="0"/>
    <n v="60"/>
    <n v="35"/>
    <x v="3"/>
    <x v="3"/>
    <n v="600"/>
    <n v="250"/>
  </r>
  <r>
    <s v="ORD-1107"/>
    <x v="181"/>
    <s v="R-03"/>
    <s v="P-04"/>
    <n v="1"/>
    <s v="Webcam"/>
    <x v="0"/>
    <n v="60"/>
    <n v="35"/>
    <x v="4"/>
    <x v="4"/>
    <n v="60"/>
    <n v="25"/>
  </r>
  <r>
    <s v="ORD-1172"/>
    <x v="181"/>
    <s v="R-04"/>
    <s v="P-09"/>
    <n v="1"/>
    <s v="Pants"/>
    <x v="1"/>
    <n v="40"/>
    <n v="18"/>
    <x v="3"/>
    <x v="3"/>
    <n v="40"/>
    <n v="22"/>
  </r>
  <r>
    <s v="ORD-1140"/>
    <x v="181"/>
    <s v="R-03"/>
    <s v="P-10"/>
    <n v="1"/>
    <s v="Shoes"/>
    <x v="1"/>
    <n v="75"/>
    <n v="40"/>
    <x v="4"/>
    <x v="4"/>
    <n v="75"/>
    <n v="35"/>
  </r>
  <r>
    <s v="ORD-1270"/>
    <x v="182"/>
    <s v="R-01"/>
    <s v="P-07"/>
    <n v="4"/>
    <s v="Fan"/>
    <x v="2"/>
    <n v="45"/>
    <n v="25"/>
    <x v="2"/>
    <x v="2"/>
    <n v="180"/>
    <n v="80"/>
  </r>
  <r>
    <s v="ORD-1336"/>
    <x v="182"/>
    <s v="R-04"/>
    <s v="P-06"/>
    <n v="2"/>
    <s v="Iron"/>
    <x v="2"/>
    <n v="35"/>
    <n v="20"/>
    <x v="3"/>
    <x v="3"/>
    <n v="70"/>
    <n v="30"/>
  </r>
  <r>
    <s v="ORD-1178"/>
    <x v="182"/>
    <s v="R-03"/>
    <s v="P-02"/>
    <n v="1"/>
    <s v="Mouse"/>
    <x v="0"/>
    <n v="25"/>
    <n v="12"/>
    <x v="4"/>
    <x v="4"/>
    <n v="25"/>
    <n v="13"/>
  </r>
  <r>
    <s v="ORD-1193"/>
    <x v="182"/>
    <s v="R-05"/>
    <s v="P-06"/>
    <n v="5"/>
    <s v="Iron"/>
    <x v="2"/>
    <n v="35"/>
    <n v="20"/>
    <x v="0"/>
    <x v="0"/>
    <n v="175"/>
    <n v="75"/>
  </r>
  <r>
    <s v="ORD-1569"/>
    <x v="182"/>
    <s v="R-01"/>
    <s v="P-01"/>
    <n v="8"/>
    <s v="Headset"/>
    <x v="0"/>
    <n v="75"/>
    <n v="45"/>
    <x v="2"/>
    <x v="2"/>
    <n v="600"/>
    <n v="240"/>
  </r>
  <r>
    <s v="ORD-1187"/>
    <x v="183"/>
    <s v="R-01"/>
    <s v="P-07"/>
    <n v="3"/>
    <s v="Fan"/>
    <x v="2"/>
    <n v="45"/>
    <n v="25"/>
    <x v="2"/>
    <x v="2"/>
    <n v="135"/>
    <n v="60"/>
  </r>
  <r>
    <s v="ORD-1596"/>
    <x v="184"/>
    <s v="R-02"/>
    <s v="P-07"/>
    <n v="9"/>
    <s v="Fan"/>
    <x v="2"/>
    <n v="45"/>
    <n v="25"/>
    <x v="1"/>
    <x v="1"/>
    <n v="405"/>
    <n v="180"/>
  </r>
  <r>
    <s v="ORD-1027"/>
    <x v="185"/>
    <s v="R-01"/>
    <s v="P-09"/>
    <n v="1"/>
    <s v="Pants"/>
    <x v="1"/>
    <n v="40"/>
    <n v="18"/>
    <x v="2"/>
    <x v="2"/>
    <n v="40"/>
    <n v="22"/>
  </r>
  <r>
    <s v="ORD-1083"/>
    <x v="186"/>
    <s v="R-03"/>
    <s v="P-03"/>
    <n v="9"/>
    <s v="Keyboard"/>
    <x v="0"/>
    <n v="40"/>
    <n v="22"/>
    <x v="4"/>
    <x v="4"/>
    <n v="360"/>
    <n v="162"/>
  </r>
  <r>
    <s v="ORD-1454"/>
    <x v="186"/>
    <s v="R-04"/>
    <s v="P-05"/>
    <n v="2"/>
    <s v="Blender"/>
    <x v="2"/>
    <n v="50"/>
    <n v="30"/>
    <x v="3"/>
    <x v="3"/>
    <n v="100"/>
    <n v="40"/>
  </r>
  <r>
    <s v="ORD-1146"/>
    <x v="186"/>
    <s v="R-03"/>
    <s v="P-05"/>
    <n v="4"/>
    <s v="Blender"/>
    <x v="2"/>
    <n v="50"/>
    <n v="30"/>
    <x v="4"/>
    <x v="4"/>
    <n v="200"/>
    <n v="80"/>
  </r>
  <r>
    <s v="ORD-1308"/>
    <x v="187"/>
    <s v="R-05"/>
    <s v="P-10"/>
    <n v="9"/>
    <s v="Shoes"/>
    <x v="1"/>
    <n v="75"/>
    <n v="40"/>
    <x v="0"/>
    <x v="0"/>
    <n v="675"/>
    <n v="315"/>
  </r>
  <r>
    <s v="ORD-1472"/>
    <x v="187"/>
    <s v="R-05"/>
    <s v="P-06"/>
    <n v="9"/>
    <s v="Iron"/>
    <x v="2"/>
    <n v="35"/>
    <n v="20"/>
    <x v="0"/>
    <x v="0"/>
    <n v="315"/>
    <n v="135"/>
  </r>
  <r>
    <s v="ORD-1447"/>
    <x v="188"/>
    <s v="R-01"/>
    <s v="P-01"/>
    <n v="1"/>
    <s v="Headset"/>
    <x v="0"/>
    <n v="75"/>
    <n v="45"/>
    <x v="2"/>
    <x v="2"/>
    <n v="75"/>
    <n v="30"/>
  </r>
  <r>
    <s v="ORD-1599"/>
    <x v="188"/>
    <s v="R-04"/>
    <s v="P-04"/>
    <n v="5"/>
    <s v="Webcam"/>
    <x v="0"/>
    <n v="60"/>
    <n v="35"/>
    <x v="3"/>
    <x v="3"/>
    <n v="300"/>
    <n v="125"/>
  </r>
  <r>
    <s v="ORD-1231"/>
    <x v="189"/>
    <s v="R-02"/>
    <s v="P-04"/>
    <n v="4"/>
    <s v="Webcam"/>
    <x v="0"/>
    <n v="60"/>
    <n v="35"/>
    <x v="1"/>
    <x v="1"/>
    <n v="240"/>
    <n v="100"/>
  </r>
  <r>
    <s v="ORD-1141"/>
    <x v="190"/>
    <s v="R-05"/>
    <s v="P-04"/>
    <n v="8"/>
    <s v="Webcam"/>
    <x v="0"/>
    <n v="60"/>
    <n v="35"/>
    <x v="0"/>
    <x v="0"/>
    <n v="480"/>
    <n v="200"/>
  </r>
  <r>
    <s v="ORD-1051"/>
    <x v="191"/>
    <s v="R-01"/>
    <s v="P-07"/>
    <n v="5"/>
    <s v="Fan"/>
    <x v="2"/>
    <n v="45"/>
    <n v="25"/>
    <x v="2"/>
    <x v="2"/>
    <n v="225"/>
    <n v="100"/>
  </r>
  <r>
    <s v="ORD-1522"/>
    <x v="191"/>
    <s v="R-03"/>
    <s v="P-06"/>
    <n v="6"/>
    <s v="Iron"/>
    <x v="2"/>
    <n v="35"/>
    <n v="20"/>
    <x v="4"/>
    <x v="4"/>
    <n v="210"/>
    <n v="90"/>
  </r>
  <r>
    <s v="ORD-1155"/>
    <x v="192"/>
    <s v="R-03"/>
    <s v="P-07"/>
    <n v="1"/>
    <s v="Fan"/>
    <x v="2"/>
    <n v="45"/>
    <n v="25"/>
    <x v="4"/>
    <x v="4"/>
    <n v="45"/>
    <n v="20"/>
  </r>
  <r>
    <s v="ORD-1039"/>
    <x v="193"/>
    <s v="R-04"/>
    <s v="P-01"/>
    <n v="5"/>
    <s v="Headset"/>
    <x v="0"/>
    <n v="75"/>
    <n v="45"/>
    <x v="3"/>
    <x v="3"/>
    <n v="375"/>
    <n v="150"/>
  </r>
  <r>
    <s v="ORD-1485"/>
    <x v="194"/>
    <s v="R-03"/>
    <s v="P-10"/>
    <n v="9"/>
    <s v="Shoes"/>
    <x v="1"/>
    <n v="75"/>
    <n v="40"/>
    <x v="4"/>
    <x v="4"/>
    <n v="675"/>
    <n v="315"/>
  </r>
  <r>
    <s v="ORD-1370"/>
    <x v="194"/>
    <s v="R-02"/>
    <s v="P-06"/>
    <n v="10"/>
    <s v="Iron"/>
    <x v="2"/>
    <n v="35"/>
    <n v="20"/>
    <x v="1"/>
    <x v="1"/>
    <n v="350"/>
    <n v="150"/>
  </r>
  <r>
    <s v="ORD-1220"/>
    <x v="195"/>
    <s v="R-03"/>
    <s v="P-08"/>
    <n v="2"/>
    <s v="T-Shirt"/>
    <x v="1"/>
    <n v="20"/>
    <n v="8"/>
    <x v="4"/>
    <x v="4"/>
    <n v="40"/>
    <n v="24"/>
  </r>
  <r>
    <s v="ORD-1500"/>
    <x v="195"/>
    <s v="R-04"/>
    <s v="P-10"/>
    <n v="3"/>
    <s v="Shoes"/>
    <x v="1"/>
    <n v="75"/>
    <n v="40"/>
    <x v="3"/>
    <x v="3"/>
    <n v="225"/>
    <n v="105"/>
  </r>
  <r>
    <s v="ORD-1461"/>
    <x v="195"/>
    <s v="R-02"/>
    <s v="P-04"/>
    <n v="5"/>
    <s v="Webcam"/>
    <x v="0"/>
    <n v="60"/>
    <n v="35"/>
    <x v="1"/>
    <x v="1"/>
    <n v="300"/>
    <n v="125"/>
  </r>
  <r>
    <s v="ORD-1374"/>
    <x v="195"/>
    <s v="R-05"/>
    <s v="P-03"/>
    <n v="10"/>
    <s v="Keyboard"/>
    <x v="0"/>
    <n v="40"/>
    <n v="22"/>
    <x v="0"/>
    <x v="0"/>
    <n v="400"/>
    <n v="180"/>
  </r>
  <r>
    <s v="ORD-1538"/>
    <x v="196"/>
    <s v="R-02"/>
    <s v="P-06"/>
    <n v="2"/>
    <s v="Iron"/>
    <x v="2"/>
    <n v="35"/>
    <n v="20"/>
    <x v="1"/>
    <x v="1"/>
    <n v="70"/>
    <n v="30"/>
  </r>
  <r>
    <s v="ORD-1483"/>
    <x v="197"/>
    <s v="R-05"/>
    <s v="P-01"/>
    <n v="6"/>
    <s v="Headset"/>
    <x v="0"/>
    <n v="75"/>
    <n v="45"/>
    <x v="0"/>
    <x v="0"/>
    <n v="450"/>
    <n v="180"/>
  </r>
  <r>
    <s v="ORD-1491"/>
    <x v="197"/>
    <s v="R-04"/>
    <s v="P-03"/>
    <n v="4"/>
    <s v="Keyboard"/>
    <x v="0"/>
    <n v="40"/>
    <n v="22"/>
    <x v="3"/>
    <x v="3"/>
    <n v="160"/>
    <n v="72"/>
  </r>
  <r>
    <s v="ORD-1078"/>
    <x v="198"/>
    <s v="R-01"/>
    <s v="P-03"/>
    <n v="4"/>
    <s v="Keyboard"/>
    <x v="0"/>
    <n v="40"/>
    <n v="22"/>
    <x v="2"/>
    <x v="2"/>
    <n v="160"/>
    <n v="72"/>
  </r>
  <r>
    <s v="ORD-1088"/>
    <x v="198"/>
    <s v="R-04"/>
    <s v="P-10"/>
    <n v="3"/>
    <s v="Shoes"/>
    <x v="1"/>
    <n v="75"/>
    <n v="40"/>
    <x v="3"/>
    <x v="3"/>
    <n v="225"/>
    <n v="105"/>
  </r>
  <r>
    <s v="ORD-1258"/>
    <x v="198"/>
    <s v="R-04"/>
    <s v="P-02"/>
    <n v="3"/>
    <s v="Mouse"/>
    <x v="0"/>
    <n v="25"/>
    <n v="12"/>
    <x v="3"/>
    <x v="3"/>
    <n v="75"/>
    <n v="39"/>
  </r>
  <r>
    <s v="ORD-1241"/>
    <x v="198"/>
    <s v="R-02"/>
    <s v="P-03"/>
    <n v="5"/>
    <s v="Keyboard"/>
    <x v="0"/>
    <n v="40"/>
    <n v="22"/>
    <x v="1"/>
    <x v="1"/>
    <n v="200"/>
    <n v="90"/>
  </r>
  <r>
    <s v="ORD-1026"/>
    <x v="199"/>
    <s v="R-01"/>
    <s v="P-04"/>
    <n v="6"/>
    <s v="Webcam"/>
    <x v="0"/>
    <n v="60"/>
    <n v="35"/>
    <x v="2"/>
    <x v="2"/>
    <n v="360"/>
    <n v="150"/>
  </r>
  <r>
    <s v="ORD-1347"/>
    <x v="199"/>
    <s v="R-04"/>
    <s v="P-06"/>
    <n v="6"/>
    <s v="Iron"/>
    <x v="2"/>
    <n v="35"/>
    <n v="20"/>
    <x v="3"/>
    <x v="3"/>
    <n v="210"/>
    <n v="90"/>
  </r>
  <r>
    <s v="ORD-1521"/>
    <x v="199"/>
    <s v="R-04"/>
    <s v="P-02"/>
    <n v="7"/>
    <s v="Mouse"/>
    <x v="0"/>
    <n v="25"/>
    <n v="12"/>
    <x v="3"/>
    <x v="3"/>
    <n v="175"/>
    <n v="91"/>
  </r>
  <r>
    <s v="ORD-1285"/>
    <x v="200"/>
    <s v="R-01"/>
    <s v="P-09"/>
    <n v="3"/>
    <s v="Pants"/>
    <x v="1"/>
    <n v="40"/>
    <n v="18"/>
    <x v="2"/>
    <x v="2"/>
    <n v="120"/>
    <n v="66"/>
  </r>
  <r>
    <s v="ORD-1479"/>
    <x v="200"/>
    <s v="R-03"/>
    <s v="P-04"/>
    <n v="10"/>
    <s v="Webcam"/>
    <x v="0"/>
    <n v="60"/>
    <n v="35"/>
    <x v="4"/>
    <x v="4"/>
    <n v="600"/>
    <n v="250"/>
  </r>
  <r>
    <s v="ORD-1265"/>
    <x v="200"/>
    <s v="R-03"/>
    <s v="P-07"/>
    <n v="2"/>
    <s v="Fan"/>
    <x v="2"/>
    <n v="45"/>
    <n v="25"/>
    <x v="4"/>
    <x v="4"/>
    <n v="90"/>
    <n v="40"/>
  </r>
  <r>
    <s v="ORD-1225"/>
    <x v="201"/>
    <s v="R-03"/>
    <s v="P-05"/>
    <n v="4"/>
    <s v="Blender"/>
    <x v="2"/>
    <n v="50"/>
    <n v="30"/>
    <x v="4"/>
    <x v="4"/>
    <n v="200"/>
    <n v="80"/>
  </r>
  <r>
    <s v="ORD-1130"/>
    <x v="201"/>
    <s v="R-01"/>
    <s v="P-07"/>
    <n v="2"/>
    <s v="Fan"/>
    <x v="2"/>
    <n v="45"/>
    <n v="25"/>
    <x v="2"/>
    <x v="2"/>
    <n v="90"/>
    <n v="40"/>
  </r>
  <r>
    <s v="ORD-1349"/>
    <x v="202"/>
    <s v="R-03"/>
    <s v="P-01"/>
    <n v="8"/>
    <s v="Headset"/>
    <x v="0"/>
    <n v="75"/>
    <n v="45"/>
    <x v="4"/>
    <x v="4"/>
    <n v="600"/>
    <n v="240"/>
  </r>
  <r>
    <s v="ORD-1127"/>
    <x v="203"/>
    <s v="R-02"/>
    <s v="P-08"/>
    <n v="8"/>
    <s v="T-Shirt"/>
    <x v="1"/>
    <n v="20"/>
    <n v="8"/>
    <x v="1"/>
    <x v="1"/>
    <n v="160"/>
    <n v="96"/>
  </r>
  <r>
    <s v="ORD-1494"/>
    <x v="203"/>
    <s v="R-05"/>
    <s v="P-01"/>
    <n v="4"/>
    <s v="Headset"/>
    <x v="0"/>
    <n v="75"/>
    <n v="45"/>
    <x v="0"/>
    <x v="0"/>
    <n v="300"/>
    <n v="120"/>
  </r>
  <r>
    <s v="ORD-1018"/>
    <x v="204"/>
    <s v="R-03"/>
    <s v="P-03"/>
    <n v="4"/>
    <s v="Keyboard"/>
    <x v="0"/>
    <n v="40"/>
    <n v="22"/>
    <x v="4"/>
    <x v="4"/>
    <n v="160"/>
    <n v="72"/>
  </r>
  <r>
    <s v="ORD-1501"/>
    <x v="204"/>
    <s v="R-02"/>
    <s v="P-07"/>
    <n v="2"/>
    <s v="Fan"/>
    <x v="2"/>
    <n v="45"/>
    <n v="25"/>
    <x v="1"/>
    <x v="1"/>
    <n v="90"/>
    <n v="40"/>
  </r>
  <r>
    <s v="ORD-1179"/>
    <x v="205"/>
    <s v="R-03"/>
    <s v="P-02"/>
    <n v="2"/>
    <s v="Mouse"/>
    <x v="0"/>
    <n v="25"/>
    <n v="12"/>
    <x v="4"/>
    <x v="4"/>
    <n v="50"/>
    <n v="26"/>
  </r>
  <r>
    <s v="ORD-1239"/>
    <x v="205"/>
    <s v="R-03"/>
    <s v="P-02"/>
    <n v="5"/>
    <s v="Mouse"/>
    <x v="0"/>
    <n v="25"/>
    <n v="12"/>
    <x v="4"/>
    <x v="4"/>
    <n v="125"/>
    <n v="65"/>
  </r>
  <r>
    <s v="ORD-1066"/>
    <x v="206"/>
    <s v="R-04"/>
    <s v="P-08"/>
    <n v="4"/>
    <s v="T-Shirt"/>
    <x v="1"/>
    <n v="20"/>
    <n v="8"/>
    <x v="3"/>
    <x v="3"/>
    <n v="80"/>
    <n v="48"/>
  </r>
  <r>
    <s v="ORD-1106"/>
    <x v="207"/>
    <s v="R-02"/>
    <s v="P-06"/>
    <n v="4"/>
    <s v="Iron"/>
    <x v="2"/>
    <n v="35"/>
    <n v="20"/>
    <x v="1"/>
    <x v="1"/>
    <n v="140"/>
    <n v="60"/>
  </r>
  <r>
    <s v="ORD-1418"/>
    <x v="208"/>
    <s v="R-05"/>
    <s v="P-05"/>
    <n v="1"/>
    <s v="Blender"/>
    <x v="2"/>
    <n v="50"/>
    <n v="30"/>
    <x v="0"/>
    <x v="0"/>
    <n v="50"/>
    <n v="20"/>
  </r>
  <r>
    <s v="ORD-1257"/>
    <x v="209"/>
    <s v="R-01"/>
    <s v="P-08"/>
    <n v="3"/>
    <s v="T-Shirt"/>
    <x v="1"/>
    <n v="20"/>
    <n v="8"/>
    <x v="2"/>
    <x v="2"/>
    <n v="60"/>
    <n v="36"/>
  </r>
  <r>
    <s v="ORD-1411"/>
    <x v="210"/>
    <s v="R-05"/>
    <s v="P-05"/>
    <n v="1"/>
    <s v="Blender"/>
    <x v="2"/>
    <n v="50"/>
    <n v="30"/>
    <x v="0"/>
    <x v="0"/>
    <n v="50"/>
    <n v="20"/>
  </r>
  <r>
    <s v="ORD-1057"/>
    <x v="210"/>
    <s v="R-01"/>
    <s v="P-08"/>
    <n v="7"/>
    <s v="T-Shirt"/>
    <x v="1"/>
    <n v="20"/>
    <n v="8"/>
    <x v="2"/>
    <x v="2"/>
    <n v="140"/>
    <n v="84"/>
  </r>
  <r>
    <s v="ORD-1385"/>
    <x v="210"/>
    <s v="R-04"/>
    <s v="P-05"/>
    <n v="4"/>
    <s v="Blender"/>
    <x v="2"/>
    <n v="50"/>
    <n v="30"/>
    <x v="3"/>
    <x v="3"/>
    <n v="200"/>
    <n v="80"/>
  </r>
  <r>
    <s v="ORD-1314"/>
    <x v="210"/>
    <s v="R-01"/>
    <s v="P-08"/>
    <n v="2"/>
    <s v="T-Shirt"/>
    <x v="1"/>
    <n v="20"/>
    <n v="8"/>
    <x v="2"/>
    <x v="2"/>
    <n v="40"/>
    <n v="24"/>
  </r>
  <r>
    <s v="ORD-1527"/>
    <x v="210"/>
    <s v="R-04"/>
    <s v="P-09"/>
    <n v="5"/>
    <s v="Pants"/>
    <x v="1"/>
    <n v="40"/>
    <n v="18"/>
    <x v="3"/>
    <x v="3"/>
    <n v="200"/>
    <n v="110"/>
  </r>
  <r>
    <s v="ORD-1052"/>
    <x v="211"/>
    <s v="R-05"/>
    <s v="P-02"/>
    <n v="3"/>
    <s v="Mouse"/>
    <x v="0"/>
    <n v="25"/>
    <n v="12"/>
    <x v="0"/>
    <x v="0"/>
    <n v="75"/>
    <n v="39"/>
  </r>
  <r>
    <s v="ORD-1571"/>
    <x v="211"/>
    <s v="R-02"/>
    <s v="P-01"/>
    <n v="10"/>
    <s v="Headset"/>
    <x v="0"/>
    <n v="75"/>
    <n v="45"/>
    <x v="1"/>
    <x v="1"/>
    <n v="750"/>
    <n v="300"/>
  </r>
  <r>
    <s v="ORD-1253"/>
    <x v="212"/>
    <s v="R-03"/>
    <s v="P-08"/>
    <n v="2"/>
    <s v="T-Shirt"/>
    <x v="1"/>
    <n v="20"/>
    <n v="8"/>
    <x v="4"/>
    <x v="4"/>
    <n v="40"/>
    <n v="24"/>
  </r>
  <r>
    <s v="ORD-1198"/>
    <x v="213"/>
    <s v="R-01"/>
    <s v="P-05"/>
    <n v="4"/>
    <s v="Blender"/>
    <x v="2"/>
    <n v="50"/>
    <n v="30"/>
    <x v="2"/>
    <x v="2"/>
    <n v="200"/>
    <n v="80"/>
  </r>
  <r>
    <s v="ORD-1510"/>
    <x v="213"/>
    <s v="R-05"/>
    <s v="P-04"/>
    <n v="8"/>
    <s v="Webcam"/>
    <x v="0"/>
    <n v="60"/>
    <n v="35"/>
    <x v="0"/>
    <x v="0"/>
    <n v="480"/>
    <n v="200"/>
  </r>
  <r>
    <s v="ORD-1113"/>
    <x v="213"/>
    <s v="R-02"/>
    <s v="P-02"/>
    <n v="8"/>
    <s v="Mouse"/>
    <x v="0"/>
    <n v="25"/>
    <n v="12"/>
    <x v="1"/>
    <x v="1"/>
    <n v="200"/>
    <n v="104"/>
  </r>
  <r>
    <s v="ORD-1552"/>
    <x v="213"/>
    <s v="R-05"/>
    <s v="P-03"/>
    <n v="7"/>
    <s v="Keyboard"/>
    <x v="0"/>
    <n v="40"/>
    <n v="22"/>
    <x v="0"/>
    <x v="0"/>
    <n v="280"/>
    <n v="126"/>
  </r>
  <r>
    <s v="ORD-1426"/>
    <x v="214"/>
    <s v="R-02"/>
    <s v="P-07"/>
    <n v="8"/>
    <s v="Fan"/>
    <x v="2"/>
    <n v="45"/>
    <n v="25"/>
    <x v="1"/>
    <x v="1"/>
    <n v="360"/>
    <n v="160"/>
  </r>
  <r>
    <s v="ORD-1073"/>
    <x v="215"/>
    <s v="R-04"/>
    <s v="P-10"/>
    <n v="2"/>
    <s v="Shoes"/>
    <x v="1"/>
    <n v="75"/>
    <n v="40"/>
    <x v="3"/>
    <x v="3"/>
    <n v="150"/>
    <n v="70"/>
  </r>
  <r>
    <s v="ORD-1076"/>
    <x v="216"/>
    <s v="R-03"/>
    <s v="P-01"/>
    <n v="10"/>
    <s v="Headset"/>
    <x v="0"/>
    <n v="75"/>
    <n v="45"/>
    <x v="4"/>
    <x v="4"/>
    <n v="750"/>
    <n v="300"/>
  </r>
  <r>
    <s v="ORD-1033"/>
    <x v="216"/>
    <s v="R-01"/>
    <s v="P-06"/>
    <n v="1"/>
    <s v="Iron"/>
    <x v="2"/>
    <n v="35"/>
    <n v="20"/>
    <x v="2"/>
    <x v="2"/>
    <n v="35"/>
    <n v="15"/>
  </r>
  <r>
    <s v="ORD-1408"/>
    <x v="216"/>
    <s v="R-01"/>
    <s v="P-05"/>
    <n v="4"/>
    <s v="Blender"/>
    <x v="2"/>
    <n v="50"/>
    <n v="30"/>
    <x v="2"/>
    <x v="2"/>
    <n v="200"/>
    <n v="80"/>
  </r>
  <r>
    <s v="ORD-1002"/>
    <x v="216"/>
    <s v="R-05"/>
    <s v="P-08"/>
    <n v="10"/>
    <s v="T-Shirt"/>
    <x v="1"/>
    <n v="20"/>
    <n v="8"/>
    <x v="0"/>
    <x v="0"/>
    <n v="200"/>
    <n v="120"/>
  </r>
  <r>
    <s v="ORD-1455"/>
    <x v="217"/>
    <s v="R-05"/>
    <s v="P-04"/>
    <n v="7"/>
    <s v="Webcam"/>
    <x v="0"/>
    <n v="60"/>
    <n v="35"/>
    <x v="0"/>
    <x v="0"/>
    <n v="420"/>
    <n v="175"/>
  </r>
  <r>
    <s v="ORD-1367"/>
    <x v="218"/>
    <s v="R-01"/>
    <s v="P-02"/>
    <n v="8"/>
    <s v="Mouse"/>
    <x v="0"/>
    <n v="25"/>
    <n v="12"/>
    <x v="2"/>
    <x v="2"/>
    <n v="200"/>
    <n v="104"/>
  </r>
  <r>
    <s v="ORD-1560"/>
    <x v="218"/>
    <s v="R-05"/>
    <s v="P-02"/>
    <n v="5"/>
    <s v="Mouse"/>
    <x v="0"/>
    <n v="25"/>
    <n v="12"/>
    <x v="0"/>
    <x v="0"/>
    <n v="125"/>
    <n v="65"/>
  </r>
  <r>
    <s v="ORD-1047"/>
    <x v="219"/>
    <s v="R-04"/>
    <s v="P-08"/>
    <n v="7"/>
    <s v="T-Shirt"/>
    <x v="1"/>
    <n v="20"/>
    <n v="8"/>
    <x v="3"/>
    <x v="3"/>
    <n v="140"/>
    <n v="84"/>
  </r>
  <r>
    <s v="ORD-1434"/>
    <x v="220"/>
    <s v="R-03"/>
    <s v="P-05"/>
    <n v="5"/>
    <s v="Blender"/>
    <x v="2"/>
    <n v="50"/>
    <n v="30"/>
    <x v="4"/>
    <x v="4"/>
    <n v="250"/>
    <n v="100"/>
  </r>
  <r>
    <s v="ORD-1300"/>
    <x v="221"/>
    <s v="R-04"/>
    <s v="P-05"/>
    <n v="1"/>
    <s v="Blender"/>
    <x v="2"/>
    <n v="50"/>
    <n v="30"/>
    <x v="3"/>
    <x v="3"/>
    <n v="50"/>
    <n v="20"/>
  </r>
  <r>
    <s v="ORD-1022"/>
    <x v="221"/>
    <s v="R-03"/>
    <s v="P-10"/>
    <n v="8"/>
    <s v="Shoes"/>
    <x v="1"/>
    <n v="75"/>
    <n v="40"/>
    <x v="4"/>
    <x v="4"/>
    <n v="600"/>
    <n v="280"/>
  </r>
  <r>
    <s v="ORD-1537"/>
    <x v="221"/>
    <s v="R-01"/>
    <s v="P-04"/>
    <n v="4"/>
    <s v="Webcam"/>
    <x v="0"/>
    <n v="60"/>
    <n v="35"/>
    <x v="2"/>
    <x v="2"/>
    <n v="240"/>
    <n v="100"/>
  </r>
  <r>
    <s v="ORD-1318"/>
    <x v="221"/>
    <s v="R-05"/>
    <s v="P-06"/>
    <n v="4"/>
    <s v="Iron"/>
    <x v="2"/>
    <n v="35"/>
    <n v="20"/>
    <x v="0"/>
    <x v="0"/>
    <n v="140"/>
    <n v="60"/>
  </r>
  <r>
    <s v="ORD-1459"/>
    <x v="222"/>
    <s v="R-03"/>
    <s v="P-03"/>
    <n v="4"/>
    <s v="Keyboard"/>
    <x v="0"/>
    <n v="40"/>
    <n v="22"/>
    <x v="4"/>
    <x v="4"/>
    <n v="160"/>
    <n v="72"/>
  </r>
  <r>
    <s v="ORD-1441"/>
    <x v="223"/>
    <s v="R-03"/>
    <s v="P-06"/>
    <n v="2"/>
    <s v="Iron"/>
    <x v="2"/>
    <n v="35"/>
    <n v="20"/>
    <x v="4"/>
    <x v="4"/>
    <n v="70"/>
    <n v="30"/>
  </r>
  <r>
    <s v="ORD-1555"/>
    <x v="223"/>
    <s v="R-02"/>
    <s v="P-05"/>
    <n v="6"/>
    <s v="Blender"/>
    <x v="2"/>
    <n v="50"/>
    <n v="30"/>
    <x v="1"/>
    <x v="1"/>
    <n v="300"/>
    <n v="120"/>
  </r>
  <r>
    <s v="ORD-1227"/>
    <x v="224"/>
    <s v="R-03"/>
    <s v="P-08"/>
    <n v="4"/>
    <s v="T-Shirt"/>
    <x v="1"/>
    <n v="20"/>
    <n v="8"/>
    <x v="4"/>
    <x v="4"/>
    <n v="80"/>
    <n v="48"/>
  </r>
  <r>
    <s v="ORD-1360"/>
    <x v="224"/>
    <s v="R-02"/>
    <s v="P-06"/>
    <n v="7"/>
    <s v="Iron"/>
    <x v="2"/>
    <n v="35"/>
    <n v="20"/>
    <x v="1"/>
    <x v="1"/>
    <n v="245"/>
    <n v="105"/>
  </r>
  <r>
    <s v="ORD-1338"/>
    <x v="224"/>
    <s v="R-01"/>
    <s v="P-08"/>
    <n v="2"/>
    <s v="T-Shirt"/>
    <x v="1"/>
    <n v="20"/>
    <n v="8"/>
    <x v="2"/>
    <x v="2"/>
    <n v="40"/>
    <n v="24"/>
  </r>
  <r>
    <s v="ORD-1086"/>
    <x v="224"/>
    <s v="R-02"/>
    <s v="P-09"/>
    <n v="1"/>
    <s v="Pants"/>
    <x v="1"/>
    <n v="40"/>
    <n v="18"/>
    <x v="1"/>
    <x v="1"/>
    <n v="40"/>
    <n v="22"/>
  </r>
  <r>
    <s v="ORD-1498"/>
    <x v="224"/>
    <s v="R-04"/>
    <s v="P-05"/>
    <n v="5"/>
    <s v="Blender"/>
    <x v="2"/>
    <n v="50"/>
    <n v="30"/>
    <x v="3"/>
    <x v="3"/>
    <n v="250"/>
    <n v="100"/>
  </r>
  <r>
    <s v="ORD-1353"/>
    <x v="225"/>
    <s v="R-03"/>
    <s v="P-06"/>
    <n v="3"/>
    <s v="Iron"/>
    <x v="2"/>
    <n v="35"/>
    <n v="20"/>
    <x v="4"/>
    <x v="4"/>
    <n v="105"/>
    <n v="45"/>
  </r>
  <r>
    <s v="ORD-1175"/>
    <x v="226"/>
    <s v="R-01"/>
    <s v="P-07"/>
    <n v="3"/>
    <s v="Fan"/>
    <x v="2"/>
    <n v="45"/>
    <n v="25"/>
    <x v="2"/>
    <x v="2"/>
    <n v="135"/>
    <n v="60"/>
  </r>
  <r>
    <s v="ORD-1315"/>
    <x v="226"/>
    <s v="R-04"/>
    <s v="P-08"/>
    <n v="3"/>
    <s v="T-Shirt"/>
    <x v="1"/>
    <n v="20"/>
    <n v="8"/>
    <x v="3"/>
    <x v="3"/>
    <n v="60"/>
    <n v="36"/>
  </r>
  <r>
    <s v="ORD-1132"/>
    <x v="226"/>
    <s v="R-03"/>
    <s v="P-07"/>
    <n v="3"/>
    <s v="Fan"/>
    <x v="2"/>
    <n v="45"/>
    <n v="25"/>
    <x v="4"/>
    <x v="4"/>
    <n v="135"/>
    <n v="60"/>
  </r>
  <r>
    <s v="ORD-1572"/>
    <x v="227"/>
    <s v="R-02"/>
    <s v="P-10"/>
    <n v="8"/>
    <s v="Shoes"/>
    <x v="1"/>
    <n v="75"/>
    <n v="40"/>
    <x v="1"/>
    <x v="1"/>
    <n v="600"/>
    <n v="280"/>
  </r>
  <r>
    <s v="ORD-1163"/>
    <x v="227"/>
    <s v="R-03"/>
    <s v="P-04"/>
    <n v="9"/>
    <s v="Webcam"/>
    <x v="0"/>
    <n v="60"/>
    <n v="35"/>
    <x v="4"/>
    <x v="4"/>
    <n v="540"/>
    <n v="225"/>
  </r>
  <r>
    <s v="ORD-1157"/>
    <x v="227"/>
    <s v="R-04"/>
    <s v="P-06"/>
    <n v="7"/>
    <s v="Iron"/>
    <x v="2"/>
    <n v="35"/>
    <n v="20"/>
    <x v="3"/>
    <x v="3"/>
    <n v="245"/>
    <n v="105"/>
  </r>
  <r>
    <s v="ORD-1321"/>
    <x v="227"/>
    <s v="R-01"/>
    <s v="P-10"/>
    <n v="6"/>
    <s v="Shoes"/>
    <x v="1"/>
    <n v="75"/>
    <n v="40"/>
    <x v="2"/>
    <x v="2"/>
    <n v="450"/>
    <n v="210"/>
  </r>
  <r>
    <s v="ORD-1517"/>
    <x v="228"/>
    <s v="R-05"/>
    <s v="P-02"/>
    <n v="9"/>
    <s v="Mouse"/>
    <x v="0"/>
    <n v="25"/>
    <n v="12"/>
    <x v="0"/>
    <x v="0"/>
    <n v="225"/>
    <n v="117"/>
  </r>
  <r>
    <s v="ORD-1467"/>
    <x v="228"/>
    <s v="R-05"/>
    <s v="P-07"/>
    <n v="8"/>
    <s v="Fan"/>
    <x v="2"/>
    <n v="45"/>
    <n v="25"/>
    <x v="0"/>
    <x v="0"/>
    <n v="360"/>
    <n v="160"/>
  </r>
  <r>
    <s v="ORD-1168"/>
    <x v="229"/>
    <s v="R-05"/>
    <s v="P-08"/>
    <n v="1"/>
    <s v="T-Shirt"/>
    <x v="1"/>
    <n v="20"/>
    <n v="8"/>
    <x v="0"/>
    <x v="0"/>
    <n v="20"/>
    <n v="12"/>
  </r>
  <r>
    <s v="ORD-1319"/>
    <x v="229"/>
    <s v="R-04"/>
    <s v="P-04"/>
    <n v="2"/>
    <s v="Webcam"/>
    <x v="0"/>
    <n v="60"/>
    <n v="35"/>
    <x v="3"/>
    <x v="3"/>
    <n v="120"/>
    <n v="50"/>
  </r>
  <r>
    <s v="ORD-1559"/>
    <x v="229"/>
    <s v="R-02"/>
    <s v="P-02"/>
    <n v="5"/>
    <s v="Mouse"/>
    <x v="0"/>
    <n v="25"/>
    <n v="12"/>
    <x v="1"/>
    <x v="1"/>
    <n v="125"/>
    <n v="65"/>
  </r>
  <r>
    <s v="ORD-1391"/>
    <x v="230"/>
    <s v="R-02"/>
    <s v="P-03"/>
    <n v="3"/>
    <s v="Keyboard"/>
    <x v="0"/>
    <n v="40"/>
    <n v="22"/>
    <x v="1"/>
    <x v="1"/>
    <n v="120"/>
    <n v="54"/>
  </r>
  <r>
    <s v="ORD-1362"/>
    <x v="230"/>
    <s v="R-02"/>
    <s v="P-10"/>
    <n v="2"/>
    <s v="Shoes"/>
    <x v="1"/>
    <n v="75"/>
    <n v="40"/>
    <x v="1"/>
    <x v="1"/>
    <n v="150"/>
    <n v="70"/>
  </r>
  <r>
    <s v="ORD-1299"/>
    <x v="231"/>
    <s v="R-02"/>
    <s v="P-06"/>
    <n v="5"/>
    <s v="Iron"/>
    <x v="2"/>
    <n v="35"/>
    <n v="20"/>
    <x v="1"/>
    <x v="1"/>
    <n v="175"/>
    <n v="75"/>
  </r>
  <r>
    <s v="ORD-1478"/>
    <x v="231"/>
    <s v="R-02"/>
    <s v="P-09"/>
    <n v="2"/>
    <s v="Pants"/>
    <x v="1"/>
    <n v="40"/>
    <n v="18"/>
    <x v="1"/>
    <x v="1"/>
    <n v="80"/>
    <n v="44"/>
  </r>
  <r>
    <s v="ORD-1105"/>
    <x v="231"/>
    <s v="R-03"/>
    <s v="P-05"/>
    <n v="6"/>
    <s v="Blender"/>
    <x v="2"/>
    <n v="50"/>
    <n v="30"/>
    <x v="4"/>
    <x v="4"/>
    <n v="300"/>
    <n v="120"/>
  </r>
  <r>
    <s v="ORD-1488"/>
    <x v="232"/>
    <s v="R-05"/>
    <s v="P-02"/>
    <n v="3"/>
    <s v="Mouse"/>
    <x v="0"/>
    <n v="25"/>
    <n v="12"/>
    <x v="0"/>
    <x v="0"/>
    <n v="75"/>
    <n v="39"/>
  </r>
  <r>
    <s v="ORD-1448"/>
    <x v="232"/>
    <s v="R-03"/>
    <s v="P-06"/>
    <n v="10"/>
    <s v="Iron"/>
    <x v="2"/>
    <n v="35"/>
    <n v="20"/>
    <x v="4"/>
    <x v="4"/>
    <n v="350"/>
    <n v="150"/>
  </r>
  <r>
    <s v="ORD-1118"/>
    <x v="233"/>
    <s v="R-04"/>
    <s v="P-02"/>
    <n v="5"/>
    <s v="Mouse"/>
    <x v="0"/>
    <n v="25"/>
    <n v="12"/>
    <x v="3"/>
    <x v="3"/>
    <n v="125"/>
    <n v="65"/>
  </r>
  <r>
    <s v="ORD-1020"/>
    <x v="234"/>
    <s v="R-01"/>
    <s v="P-01"/>
    <n v="5"/>
    <s v="Headset"/>
    <x v="0"/>
    <n v="75"/>
    <n v="45"/>
    <x v="2"/>
    <x v="2"/>
    <n v="375"/>
    <n v="150"/>
  </r>
  <r>
    <s v="ORD-1226"/>
    <x v="234"/>
    <s v="R-03"/>
    <s v="P-10"/>
    <n v="5"/>
    <s v="Shoes"/>
    <x v="1"/>
    <n v="75"/>
    <n v="40"/>
    <x v="4"/>
    <x v="4"/>
    <n v="375"/>
    <n v="175"/>
  </r>
  <r>
    <s v="ORD-1199"/>
    <x v="235"/>
    <s v="R-03"/>
    <s v="P-10"/>
    <n v="2"/>
    <s v="Shoes"/>
    <x v="1"/>
    <n v="75"/>
    <n v="40"/>
    <x v="4"/>
    <x v="4"/>
    <n v="150"/>
    <n v="70"/>
  </r>
  <r>
    <s v="ORD-1080"/>
    <x v="236"/>
    <s v="R-02"/>
    <s v="P-10"/>
    <n v="8"/>
    <s v="Shoes"/>
    <x v="1"/>
    <n v="75"/>
    <n v="40"/>
    <x v="1"/>
    <x v="1"/>
    <n v="600"/>
    <n v="280"/>
  </r>
  <r>
    <s v="ORD-1255"/>
    <x v="237"/>
    <s v="R-04"/>
    <s v="P-07"/>
    <n v="3"/>
    <s v="Fan"/>
    <x v="2"/>
    <n v="45"/>
    <n v="25"/>
    <x v="3"/>
    <x v="3"/>
    <n v="135"/>
    <n v="60"/>
  </r>
  <r>
    <s v="ORD-1369"/>
    <x v="238"/>
    <s v="R-03"/>
    <s v="P-04"/>
    <n v="4"/>
    <s v="Webcam"/>
    <x v="0"/>
    <n v="60"/>
    <n v="35"/>
    <x v="4"/>
    <x v="4"/>
    <n v="240"/>
    <n v="100"/>
  </r>
  <r>
    <s v="ORD-1093"/>
    <x v="239"/>
    <s v="R-04"/>
    <s v="P-10"/>
    <n v="2"/>
    <s v="Shoes"/>
    <x v="1"/>
    <n v="75"/>
    <n v="40"/>
    <x v="3"/>
    <x v="3"/>
    <n v="150"/>
    <n v="70"/>
  </r>
  <r>
    <s v="ORD-1520"/>
    <x v="240"/>
    <s v="R-04"/>
    <s v="P-07"/>
    <n v="10"/>
    <s v="Fan"/>
    <x v="2"/>
    <n v="45"/>
    <n v="25"/>
    <x v="3"/>
    <x v="3"/>
    <n v="450"/>
    <n v="200"/>
  </r>
  <r>
    <s v="ORD-1340"/>
    <x v="240"/>
    <s v="R-01"/>
    <s v="P-05"/>
    <n v="8"/>
    <s v="Blender"/>
    <x v="2"/>
    <n v="50"/>
    <n v="30"/>
    <x v="2"/>
    <x v="2"/>
    <n v="400"/>
    <n v="160"/>
  </r>
  <r>
    <s v="ORD-1323"/>
    <x v="241"/>
    <s v="R-03"/>
    <s v="P-02"/>
    <n v="2"/>
    <s v="Mouse"/>
    <x v="0"/>
    <n v="25"/>
    <n v="12"/>
    <x v="4"/>
    <x v="4"/>
    <n v="50"/>
    <n v="26"/>
  </r>
  <r>
    <s v="ORD-1301"/>
    <x v="241"/>
    <s v="R-02"/>
    <s v="P-08"/>
    <n v="3"/>
    <s v="T-Shirt"/>
    <x v="1"/>
    <n v="20"/>
    <n v="8"/>
    <x v="1"/>
    <x v="1"/>
    <n v="60"/>
    <n v="36"/>
  </r>
  <r>
    <s v="ORD-1273"/>
    <x v="241"/>
    <s v="R-04"/>
    <s v="P-02"/>
    <n v="5"/>
    <s v="Mouse"/>
    <x v="0"/>
    <n v="25"/>
    <n v="12"/>
    <x v="3"/>
    <x v="3"/>
    <n v="125"/>
    <n v="65"/>
  </r>
  <r>
    <s v="ORD-1264"/>
    <x v="241"/>
    <s v="R-03"/>
    <s v="P-10"/>
    <n v="2"/>
    <s v="Shoes"/>
    <x v="1"/>
    <n v="75"/>
    <n v="40"/>
    <x v="4"/>
    <x v="4"/>
    <n v="150"/>
    <n v="70"/>
  </r>
  <r>
    <s v="ORD-1075"/>
    <x v="241"/>
    <s v="R-02"/>
    <s v="P-09"/>
    <n v="9"/>
    <s v="Pants"/>
    <x v="1"/>
    <n v="40"/>
    <n v="18"/>
    <x v="1"/>
    <x v="1"/>
    <n v="360"/>
    <n v="198"/>
  </r>
  <r>
    <s v="ORD-1404"/>
    <x v="242"/>
    <s v="R-04"/>
    <s v="P-08"/>
    <n v="4"/>
    <s v="T-Shirt"/>
    <x v="1"/>
    <n v="20"/>
    <n v="8"/>
    <x v="3"/>
    <x v="3"/>
    <n v="80"/>
    <n v="48"/>
  </r>
  <r>
    <s v="ORD-1377"/>
    <x v="243"/>
    <s v="R-05"/>
    <s v="P-07"/>
    <n v="3"/>
    <s v="Fan"/>
    <x v="2"/>
    <n v="45"/>
    <n v="25"/>
    <x v="0"/>
    <x v="0"/>
    <n v="135"/>
    <n v="60"/>
  </r>
  <r>
    <s v="ORD-1042"/>
    <x v="244"/>
    <s v="R-05"/>
    <s v="P-05"/>
    <n v="10"/>
    <s v="Blender"/>
    <x v="2"/>
    <n v="50"/>
    <n v="30"/>
    <x v="0"/>
    <x v="0"/>
    <n v="500"/>
    <n v="200"/>
  </r>
  <r>
    <s v="ORD-1186"/>
    <x v="244"/>
    <s v="R-05"/>
    <s v="P-08"/>
    <n v="1"/>
    <s v="T-Shirt"/>
    <x v="1"/>
    <n v="20"/>
    <n v="8"/>
    <x v="0"/>
    <x v="0"/>
    <n v="20"/>
    <n v="12"/>
  </r>
  <r>
    <s v="ORD-1247"/>
    <x v="245"/>
    <s v="R-01"/>
    <s v="P-02"/>
    <n v="9"/>
    <s v="Mouse"/>
    <x v="0"/>
    <n v="25"/>
    <n v="12"/>
    <x v="2"/>
    <x v="2"/>
    <n v="225"/>
    <n v="117"/>
  </r>
  <r>
    <s v="ORD-1424"/>
    <x v="245"/>
    <s v="R-04"/>
    <s v="P-06"/>
    <n v="4"/>
    <s v="Iron"/>
    <x v="2"/>
    <n v="35"/>
    <n v="20"/>
    <x v="3"/>
    <x v="3"/>
    <n v="140"/>
    <n v="60"/>
  </r>
  <r>
    <s v="ORD-1017"/>
    <x v="246"/>
    <s v="R-05"/>
    <s v="P-05"/>
    <n v="4"/>
    <s v="Blender"/>
    <x v="2"/>
    <n v="50"/>
    <n v="30"/>
    <x v="0"/>
    <x v="0"/>
    <n v="200"/>
    <n v="80"/>
  </r>
  <r>
    <s v="ORD-1067"/>
    <x v="247"/>
    <s v="R-01"/>
    <s v="P-03"/>
    <n v="3"/>
    <s v="Keyboard"/>
    <x v="0"/>
    <n v="40"/>
    <n v="22"/>
    <x v="2"/>
    <x v="2"/>
    <n v="120"/>
    <n v="54"/>
  </r>
  <r>
    <s v="ORD-1293"/>
    <x v="247"/>
    <s v="R-03"/>
    <s v="P-09"/>
    <n v="3"/>
    <s v="Pants"/>
    <x v="1"/>
    <n v="40"/>
    <n v="18"/>
    <x v="4"/>
    <x v="4"/>
    <n v="120"/>
    <n v="66"/>
  </r>
  <r>
    <s v="ORD-1423"/>
    <x v="248"/>
    <s v="R-03"/>
    <s v="P-02"/>
    <n v="7"/>
    <s v="Mouse"/>
    <x v="0"/>
    <n v="25"/>
    <n v="12"/>
    <x v="4"/>
    <x v="4"/>
    <n v="175"/>
    <n v="91"/>
  </r>
  <r>
    <s v="ORD-1380"/>
    <x v="249"/>
    <s v="R-05"/>
    <s v="P-08"/>
    <n v="9"/>
    <s v="T-Shirt"/>
    <x v="1"/>
    <n v="20"/>
    <n v="8"/>
    <x v="0"/>
    <x v="0"/>
    <n v="180"/>
    <n v="108"/>
  </r>
  <r>
    <s v="ORD-1533"/>
    <x v="250"/>
    <s v="R-05"/>
    <s v="P-04"/>
    <n v="3"/>
    <s v="Webcam"/>
    <x v="0"/>
    <n v="60"/>
    <n v="35"/>
    <x v="0"/>
    <x v="0"/>
    <n v="180"/>
    <n v="75"/>
  </r>
  <r>
    <s v="ORD-1401"/>
    <x v="250"/>
    <s v="R-01"/>
    <s v="P-09"/>
    <n v="9"/>
    <s v="Pants"/>
    <x v="1"/>
    <n v="40"/>
    <n v="18"/>
    <x v="2"/>
    <x v="2"/>
    <n v="360"/>
    <n v="198"/>
  </r>
  <r>
    <s v="ORD-1024"/>
    <x v="250"/>
    <s v="R-02"/>
    <s v="P-04"/>
    <n v="10"/>
    <s v="Webcam"/>
    <x v="0"/>
    <n v="60"/>
    <n v="35"/>
    <x v="1"/>
    <x v="1"/>
    <n v="600"/>
    <n v="250"/>
  </r>
  <r>
    <s v="ORD-1190"/>
    <x v="251"/>
    <s v="R-03"/>
    <s v="P-01"/>
    <n v="8"/>
    <s v="Headset"/>
    <x v="0"/>
    <n v="75"/>
    <n v="45"/>
    <x v="4"/>
    <x v="4"/>
    <n v="600"/>
    <n v="240"/>
  </r>
  <r>
    <s v="ORD-1049"/>
    <x v="252"/>
    <s v="R-03"/>
    <s v="P-02"/>
    <n v="1"/>
    <s v="Mouse"/>
    <x v="0"/>
    <n v="25"/>
    <n v="12"/>
    <x v="4"/>
    <x v="4"/>
    <n v="25"/>
    <n v="13"/>
  </r>
  <r>
    <s v="ORD-1379"/>
    <x v="252"/>
    <s v="R-02"/>
    <s v="P-03"/>
    <n v="6"/>
    <s v="Keyboard"/>
    <x v="0"/>
    <n v="40"/>
    <n v="22"/>
    <x v="1"/>
    <x v="1"/>
    <n v="240"/>
    <n v="108"/>
  </r>
  <r>
    <s v="ORD-1322"/>
    <x v="253"/>
    <s v="R-01"/>
    <s v="P-06"/>
    <n v="10"/>
    <s v="Iron"/>
    <x v="2"/>
    <n v="35"/>
    <n v="20"/>
    <x v="2"/>
    <x v="2"/>
    <n v="350"/>
    <n v="150"/>
  </r>
  <r>
    <s v="ORD-1440"/>
    <x v="254"/>
    <s v="R-02"/>
    <s v="P-06"/>
    <n v="4"/>
    <s v="Iron"/>
    <x v="2"/>
    <n v="35"/>
    <n v="20"/>
    <x v="1"/>
    <x v="1"/>
    <n v="140"/>
    <n v="60"/>
  </r>
  <r>
    <s v="ORD-1196"/>
    <x v="254"/>
    <s v="R-03"/>
    <s v="P-03"/>
    <n v="4"/>
    <s v="Keyboard"/>
    <x v="0"/>
    <n v="40"/>
    <n v="22"/>
    <x v="4"/>
    <x v="4"/>
    <n v="160"/>
    <n v="72"/>
  </r>
  <r>
    <s v="ORD-1183"/>
    <x v="254"/>
    <s v="R-03"/>
    <s v="P-10"/>
    <n v="10"/>
    <s v="Shoes"/>
    <x v="1"/>
    <n v="75"/>
    <n v="40"/>
    <x v="4"/>
    <x v="4"/>
    <n v="750"/>
    <n v="350"/>
  </r>
  <r>
    <s v="ORD-1433"/>
    <x v="255"/>
    <s v="R-04"/>
    <s v="P-01"/>
    <n v="1"/>
    <s v="Headset"/>
    <x v="0"/>
    <n v="75"/>
    <n v="45"/>
    <x v="3"/>
    <x v="3"/>
    <n v="75"/>
    <n v="30"/>
  </r>
  <r>
    <s v="ORD-1040"/>
    <x v="256"/>
    <s v="R-05"/>
    <s v="P-06"/>
    <n v="3"/>
    <s v="Iron"/>
    <x v="2"/>
    <n v="35"/>
    <n v="20"/>
    <x v="0"/>
    <x v="0"/>
    <n v="105"/>
    <n v="45"/>
  </r>
  <r>
    <s v="ORD-1384"/>
    <x v="257"/>
    <s v="R-05"/>
    <s v="P-10"/>
    <n v="8"/>
    <s v="Shoes"/>
    <x v="1"/>
    <n v="75"/>
    <n v="40"/>
    <x v="0"/>
    <x v="0"/>
    <n v="600"/>
    <n v="280"/>
  </r>
  <r>
    <s v="ORD-1390"/>
    <x v="258"/>
    <s v="R-02"/>
    <s v="P-02"/>
    <n v="4"/>
    <s v="Mouse"/>
    <x v="0"/>
    <n v="25"/>
    <n v="12"/>
    <x v="1"/>
    <x v="1"/>
    <n v="100"/>
    <n v="52"/>
  </r>
  <r>
    <s v="ORD-1357"/>
    <x v="259"/>
    <s v="R-04"/>
    <s v="P-01"/>
    <n v="2"/>
    <s v="Headset"/>
    <x v="0"/>
    <n v="75"/>
    <n v="45"/>
    <x v="3"/>
    <x v="3"/>
    <n v="150"/>
    <n v="60"/>
  </r>
  <r>
    <s v="ORD-1350"/>
    <x v="259"/>
    <s v="R-05"/>
    <s v="P-02"/>
    <n v="2"/>
    <s v="Mouse"/>
    <x v="0"/>
    <n v="25"/>
    <n v="12"/>
    <x v="0"/>
    <x v="0"/>
    <n v="50"/>
    <n v="26"/>
  </r>
  <r>
    <s v="ORD-1511"/>
    <x v="259"/>
    <s v="R-04"/>
    <s v="P-01"/>
    <n v="9"/>
    <s v="Headset"/>
    <x v="0"/>
    <n v="75"/>
    <n v="45"/>
    <x v="3"/>
    <x v="3"/>
    <n v="675"/>
    <n v="270"/>
  </r>
  <r>
    <s v="ORD-1221"/>
    <x v="260"/>
    <s v="R-04"/>
    <s v="P-09"/>
    <n v="5"/>
    <s v="Pants"/>
    <x v="1"/>
    <n v="40"/>
    <n v="18"/>
    <x v="3"/>
    <x v="3"/>
    <n v="200"/>
    <n v="110"/>
  </r>
  <r>
    <s v="ORD-1495"/>
    <x v="261"/>
    <s v="R-03"/>
    <s v="P-09"/>
    <n v="8"/>
    <s v="Pants"/>
    <x v="1"/>
    <n v="40"/>
    <n v="18"/>
    <x v="4"/>
    <x v="4"/>
    <n v="320"/>
    <n v="176"/>
  </r>
  <r>
    <s v="ORD-1228"/>
    <x v="261"/>
    <s v="R-01"/>
    <s v="P-07"/>
    <n v="8"/>
    <s v="Fan"/>
    <x v="2"/>
    <n v="45"/>
    <n v="25"/>
    <x v="2"/>
    <x v="2"/>
    <n v="360"/>
    <n v="160"/>
  </r>
  <r>
    <s v="ORD-1486"/>
    <x v="261"/>
    <s v="R-05"/>
    <s v="P-09"/>
    <n v="9"/>
    <s v="Pants"/>
    <x v="1"/>
    <n v="40"/>
    <n v="18"/>
    <x v="0"/>
    <x v="0"/>
    <n v="360"/>
    <n v="198"/>
  </r>
  <r>
    <s v="ORD-1237"/>
    <x v="262"/>
    <s v="R-05"/>
    <s v="P-08"/>
    <n v="10"/>
    <s v="T-Shirt"/>
    <x v="1"/>
    <n v="20"/>
    <n v="8"/>
    <x v="0"/>
    <x v="0"/>
    <n v="200"/>
    <n v="120"/>
  </r>
  <r>
    <s v="ORD-1407"/>
    <x v="262"/>
    <s v="R-05"/>
    <s v="P-10"/>
    <n v="9"/>
    <s v="Shoes"/>
    <x v="1"/>
    <n v="75"/>
    <n v="40"/>
    <x v="0"/>
    <x v="0"/>
    <n v="675"/>
    <n v="315"/>
  </r>
  <r>
    <s v="ORD-1096"/>
    <x v="263"/>
    <s v="R-05"/>
    <s v="P-06"/>
    <n v="5"/>
    <s v="Iron"/>
    <x v="2"/>
    <n v="35"/>
    <n v="20"/>
    <x v="0"/>
    <x v="0"/>
    <n v="175"/>
    <n v="75"/>
  </r>
  <r>
    <s v="ORD-1153"/>
    <x v="263"/>
    <s v="R-01"/>
    <s v="P-06"/>
    <n v="3"/>
    <s v="Iron"/>
    <x v="2"/>
    <n v="35"/>
    <n v="20"/>
    <x v="2"/>
    <x v="2"/>
    <n v="105"/>
    <n v="45"/>
  </r>
  <r>
    <s v="ORD-1112"/>
    <x v="264"/>
    <s v="R-02"/>
    <s v="P-05"/>
    <n v="7"/>
    <s v="Blender"/>
    <x v="2"/>
    <n v="50"/>
    <n v="30"/>
    <x v="1"/>
    <x v="1"/>
    <n v="350"/>
    <n v="140"/>
  </r>
  <r>
    <s v="ORD-1045"/>
    <x v="265"/>
    <s v="R-03"/>
    <s v="P-04"/>
    <n v="1"/>
    <s v="Webcam"/>
    <x v="0"/>
    <n v="60"/>
    <n v="35"/>
    <x v="4"/>
    <x v="4"/>
    <n v="60"/>
    <n v="25"/>
  </r>
  <r>
    <s v="ORD-1514"/>
    <x v="266"/>
    <s v="R-01"/>
    <s v="P-05"/>
    <n v="6"/>
    <s v="Blender"/>
    <x v="2"/>
    <n v="50"/>
    <n v="30"/>
    <x v="2"/>
    <x v="2"/>
    <n v="300"/>
    <n v="120"/>
  </r>
  <r>
    <s v="ORD-1169"/>
    <x v="267"/>
    <s v="R-01"/>
    <s v="P-06"/>
    <n v="10"/>
    <s v="Iron"/>
    <x v="2"/>
    <n v="35"/>
    <n v="20"/>
    <x v="2"/>
    <x v="2"/>
    <n v="350"/>
    <n v="150"/>
  </r>
  <r>
    <s v="ORD-1010"/>
    <x v="267"/>
    <s v="R-03"/>
    <s v="P-07"/>
    <n v="3"/>
    <s v="Fan"/>
    <x v="2"/>
    <n v="45"/>
    <n v="25"/>
    <x v="4"/>
    <x v="4"/>
    <n v="135"/>
    <n v="60"/>
  </r>
  <r>
    <s v="ORD-1597"/>
    <x v="267"/>
    <s v="R-01"/>
    <s v="P-08"/>
    <n v="10"/>
    <s v="T-Shirt"/>
    <x v="1"/>
    <n v="20"/>
    <n v="8"/>
    <x v="2"/>
    <x v="2"/>
    <n v="200"/>
    <n v="120"/>
  </r>
  <r>
    <s v="ORD-1499"/>
    <x v="268"/>
    <s v="R-02"/>
    <s v="P-03"/>
    <n v="6"/>
    <s v="Keyboard"/>
    <x v="0"/>
    <n v="40"/>
    <n v="22"/>
    <x v="1"/>
    <x v="1"/>
    <n v="240"/>
    <n v="108"/>
  </r>
  <r>
    <s v="ORD-1525"/>
    <x v="269"/>
    <s v="R-02"/>
    <s v="P-03"/>
    <n v="8"/>
    <s v="Keyboard"/>
    <x v="0"/>
    <n v="40"/>
    <n v="22"/>
    <x v="1"/>
    <x v="1"/>
    <n v="320"/>
    <n v="144"/>
  </r>
  <r>
    <s v="ORD-1084"/>
    <x v="270"/>
    <s v="R-05"/>
    <s v="P-10"/>
    <n v="7"/>
    <s v="Shoes"/>
    <x v="1"/>
    <n v="75"/>
    <n v="40"/>
    <x v="0"/>
    <x v="0"/>
    <n v="525"/>
    <n v="245"/>
  </r>
  <r>
    <s v="ORD-1250"/>
    <x v="270"/>
    <s v="R-01"/>
    <s v="P-07"/>
    <n v="10"/>
    <s v="Fan"/>
    <x v="2"/>
    <n v="45"/>
    <n v="25"/>
    <x v="2"/>
    <x v="2"/>
    <n v="450"/>
    <n v="200"/>
  </r>
  <r>
    <s v="ORD-1291"/>
    <x v="270"/>
    <s v="R-01"/>
    <s v="P-04"/>
    <n v="5"/>
    <s v="Webcam"/>
    <x v="0"/>
    <n v="60"/>
    <n v="35"/>
    <x v="2"/>
    <x v="2"/>
    <n v="300"/>
    <n v="125"/>
  </r>
  <r>
    <s v="ORD-1576"/>
    <x v="271"/>
    <s v="R-05"/>
    <s v="P-03"/>
    <n v="5"/>
    <s v="Keyboard"/>
    <x v="0"/>
    <n v="40"/>
    <n v="22"/>
    <x v="0"/>
    <x v="0"/>
    <n v="200"/>
    <n v="90"/>
  </r>
  <r>
    <s v="ORD-1055"/>
    <x v="272"/>
    <s v="R-03"/>
    <s v="P-03"/>
    <n v="2"/>
    <s v="Keyboard"/>
    <x v="0"/>
    <n v="40"/>
    <n v="22"/>
    <x v="4"/>
    <x v="4"/>
    <n v="80"/>
    <n v="36"/>
  </r>
  <r>
    <s v="ORD-1167"/>
    <x v="272"/>
    <s v="R-01"/>
    <s v="P-07"/>
    <n v="4"/>
    <s v="Fan"/>
    <x v="2"/>
    <n v="45"/>
    <n v="25"/>
    <x v="2"/>
    <x v="2"/>
    <n v="180"/>
    <n v="80"/>
  </r>
  <r>
    <s v="ORD-1503"/>
    <x v="272"/>
    <s v="R-04"/>
    <s v="P-08"/>
    <n v="6"/>
    <s v="T-Shirt"/>
    <x v="1"/>
    <n v="20"/>
    <n v="8"/>
    <x v="3"/>
    <x v="3"/>
    <n v="120"/>
    <n v="72"/>
  </r>
  <r>
    <s v="ORD-1284"/>
    <x v="272"/>
    <s v="R-05"/>
    <s v="P-05"/>
    <n v="6"/>
    <s v="Blender"/>
    <x v="2"/>
    <n v="50"/>
    <n v="30"/>
    <x v="0"/>
    <x v="0"/>
    <n v="300"/>
    <n v="120"/>
  </r>
  <r>
    <s v="ORD-1475"/>
    <x v="273"/>
    <s v="R-01"/>
    <s v="P-10"/>
    <n v="5"/>
    <s v="Shoes"/>
    <x v="1"/>
    <n v="75"/>
    <n v="40"/>
    <x v="2"/>
    <x v="2"/>
    <n v="375"/>
    <n v="175"/>
  </r>
  <r>
    <s v="ORD-1363"/>
    <x v="274"/>
    <s v="R-02"/>
    <s v="P-10"/>
    <n v="7"/>
    <s v="Shoes"/>
    <x v="1"/>
    <n v="75"/>
    <n v="40"/>
    <x v="1"/>
    <x v="1"/>
    <n v="525"/>
    <n v="245"/>
  </r>
  <r>
    <s v="ORD-1564"/>
    <x v="274"/>
    <s v="R-02"/>
    <s v="P-04"/>
    <n v="2"/>
    <s v="Webcam"/>
    <x v="0"/>
    <n v="60"/>
    <n v="35"/>
    <x v="1"/>
    <x v="1"/>
    <n v="120"/>
    <n v="50"/>
  </r>
  <r>
    <s v="ORD-1393"/>
    <x v="274"/>
    <s v="R-05"/>
    <s v="P-02"/>
    <n v="8"/>
    <s v="Mouse"/>
    <x v="0"/>
    <n v="25"/>
    <n v="12"/>
    <x v="0"/>
    <x v="0"/>
    <n v="200"/>
    <n v="104"/>
  </r>
  <r>
    <s v="ORD-1403"/>
    <x v="274"/>
    <s v="R-05"/>
    <s v="P-05"/>
    <n v="1"/>
    <s v="Blender"/>
    <x v="2"/>
    <n v="50"/>
    <n v="30"/>
    <x v="0"/>
    <x v="0"/>
    <n v="50"/>
    <n v="20"/>
  </r>
  <r>
    <s v="ORD-1210"/>
    <x v="275"/>
    <s v="R-01"/>
    <s v="P-06"/>
    <n v="6"/>
    <s v="Iron"/>
    <x v="2"/>
    <n v="35"/>
    <n v="20"/>
    <x v="2"/>
    <x v="2"/>
    <n v="210"/>
    <n v="90"/>
  </r>
  <r>
    <s v="ORD-1098"/>
    <x v="276"/>
    <s v="R-01"/>
    <s v="P-07"/>
    <n v="3"/>
    <s v="Fan"/>
    <x v="2"/>
    <n v="45"/>
    <n v="25"/>
    <x v="2"/>
    <x v="2"/>
    <n v="135"/>
    <n v="60"/>
  </r>
  <r>
    <s v="ORD-1019"/>
    <x v="276"/>
    <s v="R-01"/>
    <s v="P-02"/>
    <n v="9"/>
    <s v="Mouse"/>
    <x v="0"/>
    <n v="25"/>
    <n v="12"/>
    <x v="2"/>
    <x v="2"/>
    <n v="225"/>
    <n v="117"/>
  </r>
  <r>
    <s v="ORD-1028"/>
    <x v="277"/>
    <s v="R-05"/>
    <s v="P-04"/>
    <n v="3"/>
    <s v="Webcam"/>
    <x v="0"/>
    <n v="60"/>
    <n v="35"/>
    <x v="0"/>
    <x v="0"/>
    <n v="180"/>
    <n v="75"/>
  </r>
  <r>
    <s v="ORD-1095"/>
    <x v="277"/>
    <s v="R-05"/>
    <s v="P-09"/>
    <n v="1"/>
    <s v="Pants"/>
    <x v="1"/>
    <n v="40"/>
    <n v="18"/>
    <x v="0"/>
    <x v="0"/>
    <n v="40"/>
    <n v="22"/>
  </r>
  <r>
    <s v="ORD-1135"/>
    <x v="278"/>
    <s v="R-04"/>
    <s v="P-07"/>
    <n v="4"/>
    <s v="Fan"/>
    <x v="2"/>
    <n v="45"/>
    <n v="25"/>
    <x v="3"/>
    <x v="3"/>
    <n v="180"/>
    <n v="80"/>
  </r>
  <r>
    <s v="ORD-1053"/>
    <x v="278"/>
    <s v="R-04"/>
    <s v="P-02"/>
    <n v="6"/>
    <s v="Mouse"/>
    <x v="0"/>
    <n v="25"/>
    <n v="12"/>
    <x v="3"/>
    <x v="3"/>
    <n v="150"/>
    <n v="78"/>
  </r>
  <r>
    <s v="ORD-1260"/>
    <x v="278"/>
    <s v="R-04"/>
    <s v="P-07"/>
    <n v="8"/>
    <s v="Fan"/>
    <x v="2"/>
    <n v="45"/>
    <n v="25"/>
    <x v="3"/>
    <x v="3"/>
    <n v="360"/>
    <n v="160"/>
  </r>
  <r>
    <s v="ORD-1437"/>
    <x v="278"/>
    <s v="R-01"/>
    <s v="P-09"/>
    <n v="9"/>
    <s v="Pants"/>
    <x v="1"/>
    <n v="40"/>
    <n v="18"/>
    <x v="2"/>
    <x v="2"/>
    <n v="360"/>
    <n v="198"/>
  </r>
  <r>
    <s v="ORD-1242"/>
    <x v="278"/>
    <s v="R-04"/>
    <s v="P-01"/>
    <n v="1"/>
    <s v="Headset"/>
    <x v="0"/>
    <n v="75"/>
    <n v="45"/>
    <x v="3"/>
    <x v="3"/>
    <n v="75"/>
    <n v="30"/>
  </r>
  <r>
    <s v="ORD-1171"/>
    <x v="279"/>
    <s v="R-01"/>
    <s v="P-07"/>
    <n v="1"/>
    <s v="Fan"/>
    <x v="2"/>
    <n v="45"/>
    <n v="25"/>
    <x v="2"/>
    <x v="2"/>
    <n v="45"/>
    <n v="20"/>
  </r>
  <r>
    <s v="ORD-1339"/>
    <x v="280"/>
    <s v="R-04"/>
    <s v="P-08"/>
    <n v="9"/>
    <s v="T-Shirt"/>
    <x v="1"/>
    <n v="20"/>
    <n v="8"/>
    <x v="3"/>
    <x v="3"/>
    <n v="180"/>
    <n v="108"/>
  </r>
  <r>
    <s v="ORD-1238"/>
    <x v="280"/>
    <s v="R-01"/>
    <s v="P-07"/>
    <n v="3"/>
    <s v="Fan"/>
    <x v="2"/>
    <n v="45"/>
    <n v="25"/>
    <x v="2"/>
    <x v="2"/>
    <n v="135"/>
    <n v="60"/>
  </r>
  <r>
    <s v="ORD-1290"/>
    <x v="280"/>
    <s v="R-05"/>
    <s v="P-08"/>
    <n v="9"/>
    <s v="T-Shirt"/>
    <x v="1"/>
    <n v="20"/>
    <n v="8"/>
    <x v="0"/>
    <x v="0"/>
    <n v="180"/>
    <n v="108"/>
  </r>
  <r>
    <s v="ORD-1001"/>
    <x v="280"/>
    <s v="R-02"/>
    <s v="P-01"/>
    <n v="6"/>
    <s v="Headset"/>
    <x v="0"/>
    <n v="75"/>
    <n v="45"/>
    <x v="1"/>
    <x v="1"/>
    <n v="450"/>
    <n v="180"/>
  </r>
  <r>
    <s v="ORD-1460"/>
    <x v="280"/>
    <s v="R-05"/>
    <s v="P-06"/>
    <n v="3"/>
    <s v="Iron"/>
    <x v="2"/>
    <n v="35"/>
    <n v="20"/>
    <x v="0"/>
    <x v="0"/>
    <n v="105"/>
    <n v="45"/>
  </r>
  <r>
    <s v="ORD-1420"/>
    <x v="281"/>
    <s v="R-04"/>
    <s v="P-05"/>
    <n v="2"/>
    <s v="Blender"/>
    <x v="2"/>
    <n v="50"/>
    <n v="30"/>
    <x v="3"/>
    <x v="3"/>
    <n v="100"/>
    <n v="40"/>
  </r>
  <r>
    <s v="ORD-1074"/>
    <x v="282"/>
    <s v="R-01"/>
    <s v="P-10"/>
    <n v="9"/>
    <s v="Shoes"/>
    <x v="1"/>
    <n v="75"/>
    <n v="40"/>
    <x v="2"/>
    <x v="2"/>
    <n v="675"/>
    <n v="315"/>
  </r>
  <r>
    <s v="ORD-1245"/>
    <x v="283"/>
    <s v="R-05"/>
    <s v="P-01"/>
    <n v="7"/>
    <s v="Headset"/>
    <x v="0"/>
    <n v="75"/>
    <n v="45"/>
    <x v="0"/>
    <x v="0"/>
    <n v="525"/>
    <n v="210"/>
  </r>
  <r>
    <s v="ORD-1139"/>
    <x v="283"/>
    <s v="R-02"/>
    <s v="P-10"/>
    <n v="5"/>
    <s v="Shoes"/>
    <x v="1"/>
    <n v="75"/>
    <n v="40"/>
    <x v="1"/>
    <x v="1"/>
    <n v="375"/>
    <n v="175"/>
  </r>
  <r>
    <s v="ORD-1389"/>
    <x v="284"/>
    <s v="R-05"/>
    <s v="P-02"/>
    <n v="4"/>
    <s v="Mouse"/>
    <x v="0"/>
    <n v="25"/>
    <n v="12"/>
    <x v="0"/>
    <x v="0"/>
    <n v="100"/>
    <n v="52"/>
  </r>
  <r>
    <s v="ORD-1422"/>
    <x v="285"/>
    <s v="R-02"/>
    <s v="P-09"/>
    <n v="7"/>
    <s v="Pants"/>
    <x v="1"/>
    <n v="40"/>
    <n v="18"/>
    <x v="1"/>
    <x v="1"/>
    <n v="280"/>
    <n v="154"/>
  </r>
  <r>
    <s v="ORD-1557"/>
    <x v="285"/>
    <s v="R-02"/>
    <s v="P-08"/>
    <n v="7"/>
    <s v="T-Shirt"/>
    <x v="1"/>
    <n v="20"/>
    <n v="8"/>
    <x v="1"/>
    <x v="1"/>
    <n v="140"/>
    <n v="84"/>
  </r>
  <r>
    <s v="ORD-1376"/>
    <x v="285"/>
    <s v="R-05"/>
    <s v="P-08"/>
    <n v="7"/>
    <s v="T-Shirt"/>
    <x v="1"/>
    <n v="20"/>
    <n v="8"/>
    <x v="0"/>
    <x v="0"/>
    <n v="140"/>
    <n v="84"/>
  </r>
  <r>
    <s v="ORD-1481"/>
    <x v="286"/>
    <s v="R-05"/>
    <s v="P-01"/>
    <n v="3"/>
    <s v="Headset"/>
    <x v="0"/>
    <n v="75"/>
    <n v="45"/>
    <x v="0"/>
    <x v="0"/>
    <n v="225"/>
    <n v="90"/>
  </r>
  <r>
    <s v="ORD-1540"/>
    <x v="286"/>
    <s v="R-03"/>
    <s v="P-05"/>
    <n v="3"/>
    <s v="Blender"/>
    <x v="2"/>
    <n v="50"/>
    <n v="30"/>
    <x v="4"/>
    <x v="4"/>
    <n v="150"/>
    <n v="60"/>
  </r>
  <r>
    <s v="ORD-1131"/>
    <x v="287"/>
    <s v="R-05"/>
    <s v="P-08"/>
    <n v="8"/>
    <s v="T-Shirt"/>
    <x v="1"/>
    <n v="20"/>
    <n v="8"/>
    <x v="0"/>
    <x v="0"/>
    <n v="160"/>
    <n v="96"/>
  </r>
  <r>
    <s v="ORD-1180"/>
    <x v="287"/>
    <s v="R-04"/>
    <s v="P-01"/>
    <n v="2"/>
    <s v="Headset"/>
    <x v="0"/>
    <n v="75"/>
    <n v="45"/>
    <x v="3"/>
    <x v="3"/>
    <n v="150"/>
    <n v="60"/>
  </r>
  <r>
    <s v="ORD-1062"/>
    <x v="288"/>
    <s v="R-05"/>
    <s v="P-02"/>
    <n v="6"/>
    <s v="Mouse"/>
    <x v="0"/>
    <n v="25"/>
    <n v="12"/>
    <x v="0"/>
    <x v="0"/>
    <n v="150"/>
    <n v="78"/>
  </r>
  <r>
    <s v="ORD-1121"/>
    <x v="288"/>
    <s v="R-01"/>
    <s v="P-08"/>
    <n v="6"/>
    <s v="T-Shirt"/>
    <x v="1"/>
    <n v="20"/>
    <n v="8"/>
    <x v="2"/>
    <x v="2"/>
    <n v="120"/>
    <n v="72"/>
  </r>
  <r>
    <s v="ORD-1013"/>
    <x v="288"/>
    <s v="R-01"/>
    <s v="P-03"/>
    <n v="9"/>
    <s v="Keyboard"/>
    <x v="0"/>
    <n v="40"/>
    <n v="22"/>
    <x v="2"/>
    <x v="2"/>
    <n v="360"/>
    <n v="162"/>
  </r>
  <r>
    <s v="ORD-1251"/>
    <x v="288"/>
    <s v="R-05"/>
    <s v="P-06"/>
    <n v="10"/>
    <s v="Iron"/>
    <x v="2"/>
    <n v="35"/>
    <n v="20"/>
    <x v="0"/>
    <x v="0"/>
    <n v="350"/>
    <n v="150"/>
  </r>
  <r>
    <s v="ORD-1358"/>
    <x v="288"/>
    <s v="R-01"/>
    <s v="P-01"/>
    <n v="9"/>
    <s v="Headset"/>
    <x v="0"/>
    <n v="75"/>
    <n v="45"/>
    <x v="2"/>
    <x v="2"/>
    <n v="675"/>
    <n v="270"/>
  </r>
  <r>
    <s v="ORD-1558"/>
    <x v="289"/>
    <s v="R-05"/>
    <s v="P-01"/>
    <n v="5"/>
    <s v="Headset"/>
    <x v="0"/>
    <n v="75"/>
    <n v="45"/>
    <x v="0"/>
    <x v="0"/>
    <n v="375"/>
    <n v="150"/>
  </r>
  <r>
    <s v="ORD-1037"/>
    <x v="290"/>
    <s v="R-02"/>
    <s v="P-09"/>
    <n v="3"/>
    <s v="Pants"/>
    <x v="1"/>
    <n v="40"/>
    <n v="18"/>
    <x v="1"/>
    <x v="1"/>
    <n v="120"/>
    <n v="66"/>
  </r>
  <r>
    <s v="ORD-1312"/>
    <x v="291"/>
    <s v="R-05"/>
    <s v="P-07"/>
    <n v="2"/>
    <s v="Fan"/>
    <x v="2"/>
    <n v="45"/>
    <n v="25"/>
    <x v="0"/>
    <x v="0"/>
    <n v="90"/>
    <n v="40"/>
  </r>
  <r>
    <s v="ORD-1419"/>
    <x v="291"/>
    <s v="R-01"/>
    <s v="P-03"/>
    <n v="10"/>
    <s v="Keyboard"/>
    <x v="0"/>
    <n v="40"/>
    <n v="22"/>
    <x v="2"/>
    <x v="2"/>
    <n v="400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BA7B6-A57F-4A43-A560-DD6A5F91184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Sales Rep">
  <location ref="A5:C11" firstHeaderRow="0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axis="axisRow" showAll="0" sortType="descending">
      <items count="6"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65" showAll="0"/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 v="3"/>
    </i>
    <i>
      <x v="1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1" baseField="0" baseItem="0" numFmtId="42"/>
    <dataField name="% of Total Sales" fld="11" showDataAs="percentOfTotal" baseField="0" baseItem="0" numFmtId="10"/>
  </dataFields>
  <formats count="2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EB9F7-ABEF-4A8E-9BA7-F1C07484FC9D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egion" colHeaderCaption="Categories">
  <location ref="A68:E75" firstHeaderRow="1" firstDataRow="2" firstDataCol="1"/>
  <pivotFields count="14">
    <pivotField showAll="0"/>
    <pivotField numFmtId="164" showAll="0"/>
    <pivotField showAll="0"/>
    <pivotField showAll="0"/>
    <pivotField showAll="0"/>
    <pivotField showAll="0"/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dataField="1" numFmtId="165" showAll="0"/>
    <pivotField numFmtId="165" showAll="0"/>
    <pivotField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 Sales" fld="11" baseField="0" baseItem="0"/>
  </dataFields>
  <formats count="14">
    <format dxfId="15">
      <pivotArea dataOnly="0" labelOnly="1" fieldPosition="0">
        <references count="1">
          <reference field="6" count="1">
            <x v="0"/>
          </reference>
        </references>
      </pivotArea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6" count="1">
            <x v="1"/>
          </reference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11">
      <pivotArea field="6" type="button" dataOnly="0" labelOnly="1" outline="0" axis="axisCol" fieldPosition="0"/>
    </format>
    <format dxfId="10">
      <pivotArea dataOnly="0" labelOnly="1" fieldPosition="0">
        <references count="1">
          <reference field="6" count="1">
            <x v="0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5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4">
      <pivotArea field="10" grandCol="1" collapsedLevelsAreSubtotals="1" axis="axisRow" fieldPosition="0">
        <references count="2">
          <reference field="4294967294" count="1" selected="0">
            <x v="0"/>
          </reference>
          <reference field="10" count="2">
            <x v="0"/>
            <x v="1"/>
          </reference>
        </references>
      </pivotArea>
    </format>
    <format dxfId="3">
      <pivotArea field="10" grandCol="1" collapsedLevelsAreSubtotals="1" axis="axisRow" fieldPosition="0">
        <references count="2">
          <reference field="4294967294" count="1" selected="0">
            <x v="0"/>
          </reference>
          <reference field="10" count="3">
            <x v="2"/>
            <x v="3"/>
            <x v="4"/>
          </reference>
        </references>
      </pivotArea>
    </format>
    <format dxfId="2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F1891-2231-4C28-A699-C75208686CD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egion">
  <location ref="A36:C42" firstHeaderRow="0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axis="axisRow" showAll="0" sortType="descending">
      <items count="6">
        <item x="4"/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65" showAll="0"/>
    <pivotField numFmtId="165" showAll="0"/>
    <pivotField showAll="0" defaultSubtotal="0"/>
  </pivotFields>
  <rowFields count="1">
    <field x="10"/>
  </rowFields>
  <rowItems count="6">
    <i>
      <x v="3"/>
    </i>
    <i>
      <x v="2"/>
    </i>
    <i>
      <x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1" baseField="0" baseItem="0" numFmtId="42"/>
    <dataField name="% of Total Sales" fld="11" showDataAs="percentOfTotal" baseField="0" baseItem="0" numFmtId="10"/>
  </dataFields>
  <formats count="2"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A0915-79A0-4AB1-BF34-7049BB069F7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Months">
  <location ref="A51:B64" firstHeaderRow="1" firstDataRow="1" firstDataCol="1"/>
  <pivotFields count="14"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dataField="1" numFmtId="165" showAll="0"/>
    <pivotField numFmtId="165"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2">
    <field x="13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11" baseField="0" baseItem="0" numFmtId="42"/>
  </dataFields>
  <formats count="15"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13" count="1">
            <x v="3"/>
          </reference>
        </references>
      </pivotArea>
    </format>
    <format dxfId="30">
      <pivotArea collapsedLevelsAreSubtotals="1" fieldPosition="0">
        <references count="1">
          <reference field="13" count="1">
            <x v="7"/>
          </reference>
        </references>
      </pivotArea>
    </format>
    <format dxfId="29">
      <pivotArea collapsedLevelsAreSubtotals="1" fieldPosition="0">
        <references count="1">
          <reference field="13" count="1">
            <x v="4"/>
          </reference>
        </references>
      </pivotArea>
    </format>
    <format dxfId="28">
      <pivotArea collapsedLevelsAreSubtotals="1" fieldPosition="0">
        <references count="1">
          <reference field="13" count="1">
            <x v="5"/>
          </reference>
        </references>
      </pivotArea>
    </format>
    <format dxfId="27">
      <pivotArea collapsedLevelsAreSubtotals="1" fieldPosition="0">
        <references count="1">
          <reference field="13" count="1">
            <x v="1"/>
          </reference>
        </references>
      </pivotArea>
    </format>
    <format dxfId="26">
      <pivotArea collapsedLevelsAreSubtotals="1" fieldPosition="0">
        <references count="1">
          <reference field="13" count="1">
            <x v="11"/>
          </reference>
        </references>
      </pivotArea>
    </format>
    <format dxfId="25">
      <pivotArea collapsedLevelsAreSubtotals="1" fieldPosition="0">
        <references count="1">
          <reference field="13" count="1">
            <x v="8"/>
          </reference>
        </references>
      </pivotArea>
    </format>
    <format dxfId="24">
      <pivotArea collapsedLevelsAreSubtotals="1" fieldPosition="0">
        <references count="1">
          <reference field="13" count="1">
            <x v="6"/>
          </reference>
        </references>
      </pivotArea>
    </format>
    <format dxfId="23">
      <pivotArea collapsedLevelsAreSubtotals="1" fieldPosition="0">
        <references count="1">
          <reference field="13" count="1">
            <x v="10"/>
          </reference>
        </references>
      </pivotArea>
    </format>
    <format dxfId="22">
      <pivotArea collapsedLevelsAreSubtotals="1" fieldPosition="0">
        <references count="1">
          <reference field="13" count="1">
            <x v="9"/>
          </reference>
        </references>
      </pivotArea>
    </format>
    <format dxfId="21">
      <pivotArea collapsedLevelsAreSubtotals="1" fieldPosition="0">
        <references count="1">
          <reference field="13" count="1">
            <x v="2"/>
          </reference>
        </references>
      </pivotArea>
    </format>
    <format dxfId="20">
      <pivotArea collapsedLevelsAreSubtotals="1" fieldPosition="0">
        <references count="1">
          <reference field="13" count="1">
            <x v="0"/>
          </reference>
        </references>
      </pivotArea>
    </format>
    <format dxfId="19">
      <pivotArea dataOnly="0" labelOnly="1" fieldPosition="0">
        <references count="1">
          <reference field="1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89607-26FC-484B-A250-0001022C9B7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ategory">
  <location ref="A21:B25" firstHeaderRow="1" firstDataRow="1" firstDataCol="1"/>
  <pivotFields count="14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numFmtId="165" showAll="0"/>
    <pivotField showAll="0"/>
    <pivotField showAll="0"/>
    <pivotField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6" baseItem="0"/>
  </dataFields>
  <formats count="2">
    <format dxfId="34">
      <pivotArea dataOnly="0" labelOnly="1" outline="0" axis="axisValues" fieldPosition="0"/>
    </format>
    <format dxfId="33">
      <pivotArea outline="0" collapsedLevelsAreSubtotals="1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397B3-1DA1-411E-A821-BB615B77D603}" name="tblProducts" displayName="tblProducts" ref="A1:E11" totalsRowShown="0" headerRowDxfId="48">
  <autoFilter ref="A1:E11" xr:uid="{664397B3-1DA1-411E-A821-BB615B77D603}"/>
  <tableColumns count="5">
    <tableColumn id="1" xr3:uid="{20E3CE7A-E737-443F-87D3-5C981EE860DE}" name="Product ID"/>
    <tableColumn id="2" xr3:uid="{E6B6040A-31E3-468F-AEF2-EFB5BA510370}" name="Product Name"/>
    <tableColumn id="3" xr3:uid="{67ECBB66-EAE6-4FA6-81DB-7D5F7CFE11F6}" name="Category"/>
    <tableColumn id="4" xr3:uid="{013E93F3-5A51-4DE5-8746-85CF779C6534}" name="Unit Price" dataDxfId="47"/>
    <tableColumn id="5" xr3:uid="{086AFF7F-4FF7-4488-8CA5-882E75E78F9B}" name="Unit Cost" dataDxfId="4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3102B-BCC1-43E8-840A-7911E16ED9BB}" name="tblReps" displayName="tblReps" ref="A1:E6" totalsRowShown="0">
  <autoFilter ref="A1:E6" xr:uid="{7ED3102B-BCC1-43E8-840A-7911E16ED9BB}"/>
  <tableColumns count="5">
    <tableColumn id="1" xr3:uid="{779B9891-B6FA-429E-B019-347592FDDB3D}" name="Rep ID"/>
    <tableColumn id="2" xr3:uid="{60A083AA-7678-4850-A3CC-91CD8B751EDD}" name="Sales Rep"/>
    <tableColumn id="3" xr3:uid="{7285BD5F-2375-4956-AD2F-A854F1143025}" name="Region"/>
    <tableColumn id="4" xr3:uid="{D58D975D-8EFD-47E7-9AA4-5B061BAA057A}" name="Hire Date"/>
    <tableColumn id="5" xr3:uid="{7890269F-A24B-44F9-8E6D-4EDF9A15A342}" name="Monthly Target" dataDxfId="4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04551C-E344-4DAB-91ED-F39EB5EAFA96}" name="tblOrders" displayName="tblOrders" ref="A1:E601" totalsRowShown="0">
  <autoFilter ref="A1:E601" xr:uid="{3304551C-E344-4DAB-91ED-F39EB5EAFA96}"/>
  <tableColumns count="5">
    <tableColumn id="1" xr3:uid="{FCCB0971-05BB-4CC7-8ABB-8379EE36A767}" name="Order ID"/>
    <tableColumn id="2" xr3:uid="{2CF5728B-B0E6-491A-A1F5-BB38485DC544}" name="Order Date" dataDxfId="44"/>
    <tableColumn id="3" xr3:uid="{F6D45AF4-573C-4ADC-9375-B646BAD07558}" name="Rep ID"/>
    <tableColumn id="4" xr3:uid="{F17F8595-5B82-495B-BC29-C86E5E101181}" name="Product ID"/>
    <tableColumn id="5" xr3:uid="{DB81CDC7-D546-4437-A02B-50E8CFB1EB64}" name="Quant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3FC06F-E36E-4F4A-B8DD-2838A5E2CD6D}" name="tblAnalysis" displayName="tblAnalysis" ref="A1:M601" totalsRowShown="0">
  <autoFilter ref="A1:M601" xr:uid="{893FC06F-E36E-4F4A-B8DD-2838A5E2CD6D}"/>
  <tableColumns count="13">
    <tableColumn id="1" xr3:uid="{32090EF1-8D87-4F7C-9E1C-6E55434CB2EF}" name="Order ID"/>
    <tableColumn id="2" xr3:uid="{DDE9CB86-46BD-4708-827D-781EFF9451D5}" name="Order Date" dataDxfId="43"/>
    <tableColumn id="3" xr3:uid="{F70ED3D1-D143-4089-AB2D-8E53786FC33B}" name="Rep ID"/>
    <tableColumn id="4" xr3:uid="{E6723DFA-15A0-4A2B-B420-FC3A64BEF680}" name="Product ID"/>
    <tableColumn id="5" xr3:uid="{A63D27B2-EC88-4FAA-8073-C1B4384F4353}" name="Quantity"/>
    <tableColumn id="6" xr3:uid="{4CE5AB02-61AE-47FD-AF7C-2441E6D9F310}" name="Product Name" dataDxfId="42">
      <calculatedColumnFormula>_xlfn.XLOOKUP(tblAnalysis[[#This Row],[Product ID]], tblProducts[Product ID], tblProducts[Product Name])</calculatedColumnFormula>
    </tableColumn>
    <tableColumn id="7" xr3:uid="{0C18C005-9537-4688-AB55-A32E550E64C8}" name="Category" dataDxfId="41">
      <calculatedColumnFormula>_xlfn.XLOOKUP(tblAnalysis[[#This Row],[Product ID]], tblProducts[Product ID], tblProducts[Category])</calculatedColumnFormula>
    </tableColumn>
    <tableColumn id="8" xr3:uid="{151B08D6-EE02-4AD0-91BB-57850DB4C51B}" name="Unit Price" dataDxfId="40">
      <calculatedColumnFormula>_xlfn.XLOOKUP(tblAnalysis[[#This Row],[Product ID]], tblProducts[Product ID], tblProducts[Unit Price])</calculatedColumnFormula>
    </tableColumn>
    <tableColumn id="9" xr3:uid="{88C29456-6DEA-4653-82CD-E9425F909232}" name="Unit Cost" dataDxfId="39">
      <calculatedColumnFormula>_xlfn.XLOOKUP(tblAnalysis[[#This Row],[Product ID]], tblProducts[Product ID], tblProducts[Unit Cost])</calculatedColumnFormula>
    </tableColumn>
    <tableColumn id="10" xr3:uid="{59D97627-9052-4531-B52D-CA43EC759E46}" name="Sales Rep" dataDxfId="38">
      <calculatedColumnFormula>_xlfn.XLOOKUP(tblAnalysis[[#This Row],[Rep ID]], tblReps[Rep ID], tblReps[Sales Rep])</calculatedColumnFormula>
    </tableColumn>
    <tableColumn id="11" xr3:uid="{34ECBEA6-1D03-4513-A0A0-EED28312E8CD}" name="Region" dataDxfId="37">
      <calculatedColumnFormula>_xlfn.XLOOKUP(tblAnalysis[[#This Row],[Rep ID]], tblReps[Rep ID], tblReps[Region])</calculatedColumnFormula>
    </tableColumn>
    <tableColumn id="12" xr3:uid="{44CB6A0C-5CEB-45F7-93C9-EEA629452079}" name="Total Sales" dataDxfId="36">
      <calculatedColumnFormula>tblAnalysis[[#This Row],[Quantity]]*tblAnalysis[[#This Row],[Unit Price]]</calculatedColumnFormula>
    </tableColumn>
    <tableColumn id="13" xr3:uid="{142EF3A7-B634-4534-807C-41C746392D1C}" name="Profit" dataDxfId="35">
      <calculatedColumnFormula>tblAnalysis[[#This Row],[Quantity]]*(tblAnalysis[[#This Row],[Unit Price]]-tblAnalysis[[#This Row],[Unit Cost]])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2F3D-CFFE-4E9F-A90E-3843ACF8D4D3}">
  <dimension ref="A1:F63"/>
  <sheetViews>
    <sheetView showGridLines="0" tabSelected="1" workbookViewId="0">
      <selection activeCell="B8" sqref="B8"/>
    </sheetView>
  </sheetViews>
  <sheetFormatPr defaultRowHeight="15"/>
  <cols>
    <col min="1" max="1" width="22.7109375" customWidth="1"/>
    <col min="2" max="2" width="67.42578125" bestFit="1" customWidth="1"/>
  </cols>
  <sheetData>
    <row r="1" spans="1:2" s="7" customFormat="1" ht="23.25">
      <c r="A1" s="24" t="s">
        <v>658</v>
      </c>
      <c r="B1" s="24"/>
    </row>
    <row r="2" spans="1:2" ht="18.75">
      <c r="A2" s="8" t="s">
        <v>663</v>
      </c>
    </row>
    <row r="3" spans="1:2">
      <c r="A3" s="9" t="s">
        <v>664</v>
      </c>
      <c r="B3" s="9" t="s">
        <v>665</v>
      </c>
    </row>
    <row r="4" spans="1:2">
      <c r="A4" s="10" t="s">
        <v>659</v>
      </c>
      <c r="B4" s="10" t="s">
        <v>660</v>
      </c>
    </row>
    <row r="5" spans="1:2" ht="45">
      <c r="A5" s="10" t="s">
        <v>666</v>
      </c>
      <c r="B5" s="10" t="s">
        <v>667</v>
      </c>
    </row>
    <row r="6" spans="1:2">
      <c r="A6" s="10" t="s">
        <v>668</v>
      </c>
      <c r="B6" s="10" t="s">
        <v>740</v>
      </c>
    </row>
    <row r="7" spans="1:2">
      <c r="A7" s="10" t="s">
        <v>669</v>
      </c>
      <c r="B7" s="11">
        <v>46042</v>
      </c>
    </row>
    <row r="8" spans="1:2">
      <c r="A8" s="10" t="s">
        <v>670</v>
      </c>
      <c r="B8" s="10" t="s">
        <v>671</v>
      </c>
    </row>
    <row r="10" spans="1:2" s="8" customFormat="1" ht="18.75">
      <c r="A10" s="8" t="s">
        <v>672</v>
      </c>
    </row>
    <row r="11" spans="1:2">
      <c r="A11" s="9" t="s">
        <v>664</v>
      </c>
      <c r="B11" s="9" t="s">
        <v>665</v>
      </c>
    </row>
    <row r="12" spans="1:2">
      <c r="A12" s="10" t="s">
        <v>673</v>
      </c>
      <c r="B12" s="10" t="s">
        <v>674</v>
      </c>
    </row>
    <row r="13" spans="1:2">
      <c r="A13" s="10" t="s">
        <v>675</v>
      </c>
      <c r="B13" s="10" t="s">
        <v>676</v>
      </c>
    </row>
    <row r="14" spans="1:2">
      <c r="A14" s="10" t="s">
        <v>677</v>
      </c>
      <c r="B14" s="10" t="s">
        <v>661</v>
      </c>
    </row>
    <row r="15" spans="1:2">
      <c r="A15" s="10" t="s">
        <v>662</v>
      </c>
      <c r="B15" s="12" t="s">
        <v>678</v>
      </c>
    </row>
    <row r="16" spans="1:2">
      <c r="A16" s="13"/>
      <c r="B16" s="13"/>
    </row>
    <row r="17" spans="1:2" s="8" customFormat="1" ht="18.75">
      <c r="A17" s="8" t="s">
        <v>679</v>
      </c>
    </row>
    <row r="18" spans="1:2">
      <c r="A18" s="5" t="s">
        <v>687</v>
      </c>
    </row>
    <row r="19" spans="1:2">
      <c r="A19" s="9" t="s">
        <v>680</v>
      </c>
      <c r="B19" s="9" t="s">
        <v>681</v>
      </c>
    </row>
    <row r="20" spans="1:2">
      <c r="A20" s="10" t="s">
        <v>0</v>
      </c>
      <c r="B20" s="10" t="s">
        <v>682</v>
      </c>
    </row>
    <row r="21" spans="1:2">
      <c r="A21" s="10" t="s">
        <v>1</v>
      </c>
      <c r="B21" s="10" t="s">
        <v>683</v>
      </c>
    </row>
    <row r="22" spans="1:2">
      <c r="A22" s="10" t="s">
        <v>2</v>
      </c>
      <c r="B22" s="10" t="s">
        <v>684</v>
      </c>
    </row>
    <row r="23" spans="1:2">
      <c r="A23" s="10" t="s">
        <v>3</v>
      </c>
      <c r="B23" s="10" t="s">
        <v>685</v>
      </c>
    </row>
    <row r="24" spans="1:2">
      <c r="A24" s="10" t="s">
        <v>4</v>
      </c>
      <c r="B24" s="10" t="s">
        <v>686</v>
      </c>
    </row>
    <row r="26" spans="1:2">
      <c r="A26" s="5" t="s">
        <v>688</v>
      </c>
    </row>
    <row r="27" spans="1:2">
      <c r="A27" s="9" t="s">
        <v>680</v>
      </c>
      <c r="B27" s="9" t="s">
        <v>681</v>
      </c>
    </row>
    <row r="28" spans="1:2">
      <c r="A28" s="10" t="s">
        <v>28</v>
      </c>
      <c r="B28" s="10" t="s">
        <v>689</v>
      </c>
    </row>
    <row r="29" spans="1:2">
      <c r="A29" s="10" t="s">
        <v>29</v>
      </c>
      <c r="B29" s="10" t="s">
        <v>690</v>
      </c>
    </row>
    <row r="30" spans="1:2">
      <c r="A30" s="10" t="s">
        <v>30</v>
      </c>
      <c r="B30" s="10" t="s">
        <v>691</v>
      </c>
    </row>
    <row r="31" spans="1:2">
      <c r="A31" s="10" t="s">
        <v>31</v>
      </c>
      <c r="B31" s="10" t="s">
        <v>692</v>
      </c>
    </row>
    <row r="32" spans="1:2">
      <c r="A32" s="10" t="s">
        <v>32</v>
      </c>
      <c r="B32" s="10" t="s">
        <v>693</v>
      </c>
    </row>
    <row r="34" spans="1:2">
      <c r="A34" s="5" t="s">
        <v>694</v>
      </c>
    </row>
    <row r="35" spans="1:2">
      <c r="A35" s="9" t="s">
        <v>680</v>
      </c>
      <c r="B35" s="9" t="s">
        <v>681</v>
      </c>
    </row>
    <row r="36" spans="1:2">
      <c r="A36" s="10" t="s">
        <v>53</v>
      </c>
      <c r="B36" s="10" t="s">
        <v>695</v>
      </c>
    </row>
    <row r="37" spans="1:2">
      <c r="A37" s="10" t="s">
        <v>54</v>
      </c>
      <c r="B37" s="10" t="s">
        <v>696</v>
      </c>
    </row>
    <row r="38" spans="1:2">
      <c r="A38" s="10" t="s">
        <v>28</v>
      </c>
      <c r="B38" s="10" t="s">
        <v>697</v>
      </c>
    </row>
    <row r="39" spans="1:2">
      <c r="A39" s="10" t="s">
        <v>0</v>
      </c>
      <c r="B39" s="10" t="s">
        <v>698</v>
      </c>
    </row>
    <row r="40" spans="1:2">
      <c r="A40" s="10" t="s">
        <v>55</v>
      </c>
      <c r="B40" s="10" t="s">
        <v>699</v>
      </c>
    </row>
    <row r="42" spans="1:2">
      <c r="A42" s="5" t="s">
        <v>700</v>
      </c>
    </row>
    <row r="43" spans="1:2">
      <c r="A43" s="9" t="s">
        <v>680</v>
      </c>
      <c r="B43" s="9" t="s">
        <v>701</v>
      </c>
    </row>
    <row r="44" spans="1:2">
      <c r="A44" s="10" t="s">
        <v>656</v>
      </c>
      <c r="B44" s="10" t="s">
        <v>702</v>
      </c>
    </row>
    <row r="45" spans="1:2">
      <c r="A45" s="10" t="s">
        <v>657</v>
      </c>
      <c r="B45" s="10" t="s">
        <v>703</v>
      </c>
    </row>
    <row r="47" spans="1:2" s="8" customFormat="1" ht="18.75">
      <c r="A47" s="8" t="s">
        <v>715</v>
      </c>
    </row>
    <row r="48" spans="1:2">
      <c r="A48" s="9" t="s">
        <v>704</v>
      </c>
      <c r="B48" s="9" t="s">
        <v>705</v>
      </c>
    </row>
    <row r="49" spans="1:6">
      <c r="A49" s="10" t="s">
        <v>656</v>
      </c>
      <c r="B49" s="10" t="s">
        <v>706</v>
      </c>
    </row>
    <row r="50" spans="1:6">
      <c r="A50" s="10" t="s">
        <v>707</v>
      </c>
      <c r="B50" s="10" t="s">
        <v>708</v>
      </c>
    </row>
    <row r="51" spans="1:6">
      <c r="A51" s="10" t="s">
        <v>709</v>
      </c>
      <c r="B51" s="10" t="s">
        <v>710</v>
      </c>
    </row>
    <row r="52" spans="1:6">
      <c r="A52" s="10" t="s">
        <v>711</v>
      </c>
      <c r="B52" s="10" t="s">
        <v>712</v>
      </c>
    </row>
    <row r="53" spans="1:6">
      <c r="A53" s="10" t="s">
        <v>713</v>
      </c>
      <c r="B53" s="10" t="s">
        <v>714</v>
      </c>
    </row>
    <row r="55" spans="1:6" s="8" customFormat="1" ht="18.75">
      <c r="A55" s="8" t="s">
        <v>716</v>
      </c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5"/>
    </row>
    <row r="61" spans="1:6">
      <c r="B61" s="3"/>
    </row>
    <row r="63" spans="1:6">
      <c r="B63" s="3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 activeCell="F26" sqref="F26"/>
    </sheetView>
  </sheetViews>
  <sheetFormatPr defaultRowHeight="15"/>
  <cols>
    <col min="1" max="1" width="12.28515625" customWidth="1"/>
    <col min="2" max="2" width="15.7109375" customWidth="1"/>
    <col min="3" max="3" width="11" customWidth="1"/>
    <col min="4" max="4" width="11.85546875" style="22" customWidth="1"/>
    <col min="5" max="5" width="11.28515625" style="22" customWidth="1"/>
  </cols>
  <sheetData>
    <row r="1" spans="1:5">
      <c r="A1" s="4" t="s">
        <v>0</v>
      </c>
      <c r="B1" s="4" t="s">
        <v>1</v>
      </c>
      <c r="C1" s="4" t="s">
        <v>2</v>
      </c>
      <c r="D1" s="23" t="s">
        <v>3</v>
      </c>
      <c r="E1" s="23" t="s">
        <v>4</v>
      </c>
    </row>
    <row r="2" spans="1:5">
      <c r="A2" t="s">
        <v>5</v>
      </c>
      <c r="B2" t="s">
        <v>6</v>
      </c>
      <c r="C2" t="s">
        <v>7</v>
      </c>
      <c r="D2" s="22">
        <v>75</v>
      </c>
      <c r="E2" s="22">
        <v>45</v>
      </c>
    </row>
    <row r="3" spans="1:5">
      <c r="A3" t="s">
        <v>8</v>
      </c>
      <c r="B3" t="s">
        <v>9</v>
      </c>
      <c r="C3" t="s">
        <v>7</v>
      </c>
      <c r="D3" s="22">
        <v>25</v>
      </c>
      <c r="E3" s="22">
        <v>12</v>
      </c>
    </row>
    <row r="4" spans="1:5">
      <c r="A4" t="s">
        <v>10</v>
      </c>
      <c r="B4" t="s">
        <v>11</v>
      </c>
      <c r="C4" t="s">
        <v>7</v>
      </c>
      <c r="D4" s="22">
        <v>40</v>
      </c>
      <c r="E4" s="22">
        <v>22</v>
      </c>
    </row>
    <row r="5" spans="1:5">
      <c r="A5" t="s">
        <v>12</v>
      </c>
      <c r="B5" t="s">
        <v>13</v>
      </c>
      <c r="C5" t="s">
        <v>7</v>
      </c>
      <c r="D5" s="22">
        <v>60</v>
      </c>
      <c r="E5" s="22">
        <v>35</v>
      </c>
    </row>
    <row r="6" spans="1:5">
      <c r="A6" t="s">
        <v>14</v>
      </c>
      <c r="B6" t="s">
        <v>15</v>
      </c>
      <c r="C6" t="s">
        <v>16</v>
      </c>
      <c r="D6" s="22">
        <v>50</v>
      </c>
      <c r="E6" s="22">
        <v>30</v>
      </c>
    </row>
    <row r="7" spans="1:5">
      <c r="A7" t="s">
        <v>17</v>
      </c>
      <c r="B7" t="s">
        <v>18</v>
      </c>
      <c r="C7" t="s">
        <v>16</v>
      </c>
      <c r="D7" s="22">
        <v>35</v>
      </c>
      <c r="E7" s="22">
        <v>20</v>
      </c>
    </row>
    <row r="8" spans="1:5">
      <c r="A8" t="s">
        <v>19</v>
      </c>
      <c r="B8" t="s">
        <v>20</v>
      </c>
      <c r="C8" t="s">
        <v>16</v>
      </c>
      <c r="D8" s="22">
        <v>45</v>
      </c>
      <c r="E8" s="22">
        <v>25</v>
      </c>
    </row>
    <row r="9" spans="1:5">
      <c r="A9" t="s">
        <v>21</v>
      </c>
      <c r="B9" t="s">
        <v>22</v>
      </c>
      <c r="C9" t="s">
        <v>23</v>
      </c>
      <c r="D9" s="22">
        <v>20</v>
      </c>
      <c r="E9" s="22">
        <v>8</v>
      </c>
    </row>
    <row r="10" spans="1:5">
      <c r="A10" t="s">
        <v>24</v>
      </c>
      <c r="B10" t="s">
        <v>25</v>
      </c>
      <c r="C10" t="s">
        <v>23</v>
      </c>
      <c r="D10" s="22">
        <v>40</v>
      </c>
      <c r="E10" s="22">
        <v>18</v>
      </c>
    </row>
    <row r="11" spans="1:5">
      <c r="A11" t="s">
        <v>26</v>
      </c>
      <c r="B11" t="s">
        <v>27</v>
      </c>
      <c r="C11" t="s">
        <v>23</v>
      </c>
      <c r="D11" s="22">
        <v>75</v>
      </c>
      <c r="E11" s="22">
        <v>40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 activeCell="I23" sqref="I23"/>
    </sheetView>
  </sheetViews>
  <sheetFormatPr defaultRowHeight="15"/>
  <cols>
    <col min="2" max="2" width="11.5703125" customWidth="1"/>
    <col min="3" max="3" width="9.28515625" customWidth="1"/>
    <col min="4" max="4" width="11.42578125" customWidth="1"/>
    <col min="5" max="5" width="16.7109375" style="22" customWidth="1"/>
  </cols>
  <sheetData>
    <row r="1" spans="1:5">
      <c r="A1" t="s">
        <v>28</v>
      </c>
      <c r="B1" t="s">
        <v>29</v>
      </c>
      <c r="C1" t="s">
        <v>30</v>
      </c>
      <c r="D1" t="s">
        <v>31</v>
      </c>
      <c r="E1" s="22" t="s">
        <v>32</v>
      </c>
    </row>
    <row r="2" spans="1:5">
      <c r="A2" t="s">
        <v>33</v>
      </c>
      <c r="B2" t="s">
        <v>34</v>
      </c>
      <c r="C2" t="s">
        <v>35</v>
      </c>
      <c r="D2" t="s">
        <v>36</v>
      </c>
      <c r="E2" s="22">
        <v>15000</v>
      </c>
    </row>
    <row r="3" spans="1:5">
      <c r="A3" t="s">
        <v>37</v>
      </c>
      <c r="B3" t="s">
        <v>38</v>
      </c>
      <c r="C3" t="s">
        <v>39</v>
      </c>
      <c r="D3" t="s">
        <v>40</v>
      </c>
      <c r="E3" s="22">
        <v>18000</v>
      </c>
    </row>
    <row r="4" spans="1:5">
      <c r="A4" t="s">
        <v>41</v>
      </c>
      <c r="B4" t="s">
        <v>42</v>
      </c>
      <c r="C4" t="s">
        <v>43</v>
      </c>
      <c r="D4" t="s">
        <v>44</v>
      </c>
      <c r="E4" s="22">
        <v>12000</v>
      </c>
    </row>
    <row r="5" spans="1:5">
      <c r="A5" t="s">
        <v>45</v>
      </c>
      <c r="B5" t="s">
        <v>46</v>
      </c>
      <c r="C5" t="s">
        <v>47</v>
      </c>
      <c r="D5" t="s">
        <v>48</v>
      </c>
      <c r="E5" s="22">
        <v>16000</v>
      </c>
    </row>
    <row r="6" spans="1:5">
      <c r="A6" t="s">
        <v>49</v>
      </c>
      <c r="B6" t="s">
        <v>50</v>
      </c>
      <c r="C6" t="s">
        <v>51</v>
      </c>
      <c r="D6" t="s">
        <v>52</v>
      </c>
      <c r="E6" s="22">
        <v>14000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workbookViewId="0">
      <pane ySplit="1" topLeftCell="A2" activePane="bottomLeft" state="frozen"/>
      <selection pane="bottomLeft" activeCell="I25" sqref="I25"/>
    </sheetView>
  </sheetViews>
  <sheetFormatPr defaultRowHeight="15"/>
  <cols>
    <col min="1" max="1" width="10.5703125" customWidth="1"/>
    <col min="2" max="2" width="12.85546875" customWidth="1"/>
    <col min="4" max="4" width="12.28515625" customWidth="1"/>
    <col min="5" max="5" width="10.85546875" customWidth="1"/>
  </cols>
  <sheetData>
    <row r="1" spans="1:5">
      <c r="A1" t="s">
        <v>53</v>
      </c>
      <c r="B1" t="s">
        <v>54</v>
      </c>
      <c r="C1" t="s">
        <v>28</v>
      </c>
      <c r="D1" t="s">
        <v>0</v>
      </c>
      <c r="E1" t="s">
        <v>55</v>
      </c>
    </row>
    <row r="2" spans="1:5">
      <c r="A2" t="s">
        <v>56</v>
      </c>
      <c r="B2" s="1">
        <v>45658</v>
      </c>
      <c r="C2" t="s">
        <v>49</v>
      </c>
      <c r="D2" t="s">
        <v>10</v>
      </c>
      <c r="E2">
        <v>9</v>
      </c>
    </row>
    <row r="3" spans="1:5">
      <c r="A3" t="s">
        <v>57</v>
      </c>
      <c r="B3" s="1">
        <v>45659</v>
      </c>
      <c r="C3" t="s">
        <v>49</v>
      </c>
      <c r="D3" t="s">
        <v>8</v>
      </c>
      <c r="E3">
        <v>3</v>
      </c>
    </row>
    <row r="4" spans="1:5">
      <c r="A4" t="s">
        <v>58</v>
      </c>
      <c r="B4" s="1">
        <v>45659</v>
      </c>
      <c r="C4" t="s">
        <v>49</v>
      </c>
      <c r="D4" t="s">
        <v>26</v>
      </c>
      <c r="E4">
        <v>2</v>
      </c>
    </row>
    <row r="5" spans="1:5">
      <c r="A5" t="s">
        <v>59</v>
      </c>
      <c r="B5" s="1">
        <v>45659</v>
      </c>
      <c r="C5" t="s">
        <v>37</v>
      </c>
      <c r="D5" t="s">
        <v>21</v>
      </c>
      <c r="E5">
        <v>7</v>
      </c>
    </row>
    <row r="6" spans="1:5">
      <c r="A6" t="s">
        <v>60</v>
      </c>
      <c r="B6" s="1">
        <v>45661</v>
      </c>
      <c r="C6" t="s">
        <v>33</v>
      </c>
      <c r="D6" t="s">
        <v>17</v>
      </c>
      <c r="E6">
        <v>9</v>
      </c>
    </row>
    <row r="7" spans="1:5">
      <c r="A7" t="s">
        <v>61</v>
      </c>
      <c r="B7" s="1">
        <v>45661</v>
      </c>
      <c r="C7" t="s">
        <v>45</v>
      </c>
      <c r="D7" t="s">
        <v>19</v>
      </c>
      <c r="E7">
        <v>1</v>
      </c>
    </row>
    <row r="8" spans="1:5">
      <c r="A8" t="s">
        <v>62</v>
      </c>
      <c r="B8" s="1">
        <v>45662</v>
      </c>
      <c r="C8" t="s">
        <v>41</v>
      </c>
      <c r="D8" t="s">
        <v>17</v>
      </c>
      <c r="E8">
        <v>1</v>
      </c>
    </row>
    <row r="9" spans="1:5">
      <c r="A9" t="s">
        <v>63</v>
      </c>
      <c r="B9" s="1">
        <v>45662</v>
      </c>
      <c r="C9" t="s">
        <v>49</v>
      </c>
      <c r="D9" t="s">
        <v>12</v>
      </c>
      <c r="E9">
        <v>10</v>
      </c>
    </row>
    <row r="10" spans="1:5">
      <c r="A10" t="s">
        <v>64</v>
      </c>
      <c r="B10" s="1">
        <v>45663</v>
      </c>
      <c r="C10" t="s">
        <v>41</v>
      </c>
      <c r="D10" t="s">
        <v>24</v>
      </c>
      <c r="E10">
        <v>5</v>
      </c>
    </row>
    <row r="11" spans="1:5">
      <c r="A11" t="s">
        <v>65</v>
      </c>
      <c r="B11" s="1">
        <v>45666</v>
      </c>
      <c r="C11" t="s">
        <v>45</v>
      </c>
      <c r="D11" t="s">
        <v>21</v>
      </c>
      <c r="E11">
        <v>7</v>
      </c>
    </row>
    <row r="12" spans="1:5">
      <c r="A12" t="s">
        <v>66</v>
      </c>
      <c r="B12" s="1">
        <v>45666</v>
      </c>
      <c r="C12" t="s">
        <v>45</v>
      </c>
      <c r="D12" t="s">
        <v>24</v>
      </c>
      <c r="E12">
        <v>10</v>
      </c>
    </row>
    <row r="13" spans="1:5">
      <c r="A13" t="s">
        <v>67</v>
      </c>
      <c r="B13" s="1">
        <v>45667</v>
      </c>
      <c r="C13" t="s">
        <v>49</v>
      </c>
      <c r="D13" t="s">
        <v>10</v>
      </c>
      <c r="E13">
        <v>7</v>
      </c>
    </row>
    <row r="14" spans="1:5">
      <c r="A14" t="s">
        <v>68</v>
      </c>
      <c r="B14" s="1">
        <v>45669</v>
      </c>
      <c r="C14" t="s">
        <v>49</v>
      </c>
      <c r="D14" t="s">
        <v>8</v>
      </c>
      <c r="E14">
        <v>9</v>
      </c>
    </row>
    <row r="15" spans="1:5">
      <c r="A15" t="s">
        <v>69</v>
      </c>
      <c r="B15" s="1">
        <v>45670</v>
      </c>
      <c r="C15" t="s">
        <v>49</v>
      </c>
      <c r="D15" t="s">
        <v>21</v>
      </c>
      <c r="E15">
        <v>5</v>
      </c>
    </row>
    <row r="16" spans="1:5">
      <c r="A16" t="s">
        <v>70</v>
      </c>
      <c r="B16" s="1">
        <v>45670</v>
      </c>
      <c r="C16" t="s">
        <v>49</v>
      </c>
      <c r="D16" t="s">
        <v>17</v>
      </c>
      <c r="E16">
        <v>5</v>
      </c>
    </row>
    <row r="17" spans="1:5">
      <c r="A17" t="s">
        <v>71</v>
      </c>
      <c r="B17" s="1">
        <v>45670</v>
      </c>
      <c r="C17" t="s">
        <v>45</v>
      </c>
      <c r="D17" t="s">
        <v>8</v>
      </c>
      <c r="E17">
        <v>6</v>
      </c>
    </row>
    <row r="18" spans="1:5">
      <c r="A18" t="s">
        <v>72</v>
      </c>
      <c r="B18" s="1">
        <v>45671</v>
      </c>
      <c r="C18" t="s">
        <v>45</v>
      </c>
      <c r="D18" t="s">
        <v>14</v>
      </c>
      <c r="E18">
        <v>9</v>
      </c>
    </row>
    <row r="19" spans="1:5">
      <c r="A19" t="s">
        <v>73</v>
      </c>
      <c r="B19" s="1">
        <v>45672</v>
      </c>
      <c r="C19" t="s">
        <v>37</v>
      </c>
      <c r="D19" t="s">
        <v>12</v>
      </c>
      <c r="E19">
        <v>1</v>
      </c>
    </row>
    <row r="20" spans="1:5">
      <c r="A20" t="s">
        <v>74</v>
      </c>
      <c r="B20" s="1">
        <v>45672</v>
      </c>
      <c r="C20" t="s">
        <v>33</v>
      </c>
      <c r="D20" t="s">
        <v>14</v>
      </c>
      <c r="E20">
        <v>6</v>
      </c>
    </row>
    <row r="21" spans="1:5">
      <c r="A21" t="s">
        <v>75</v>
      </c>
      <c r="B21" s="1">
        <v>45673</v>
      </c>
      <c r="C21" t="s">
        <v>45</v>
      </c>
      <c r="D21" t="s">
        <v>5</v>
      </c>
      <c r="E21">
        <v>2</v>
      </c>
    </row>
    <row r="22" spans="1:5">
      <c r="A22" t="s">
        <v>76</v>
      </c>
      <c r="B22" s="1">
        <v>45674</v>
      </c>
      <c r="C22" t="s">
        <v>41</v>
      </c>
      <c r="D22" t="s">
        <v>24</v>
      </c>
      <c r="E22">
        <v>7</v>
      </c>
    </row>
    <row r="23" spans="1:5">
      <c r="A23" t="s">
        <v>77</v>
      </c>
      <c r="B23" s="1">
        <v>45675</v>
      </c>
      <c r="C23" t="s">
        <v>45</v>
      </c>
      <c r="D23" t="s">
        <v>17</v>
      </c>
      <c r="E23">
        <v>9</v>
      </c>
    </row>
    <row r="24" spans="1:5">
      <c r="A24" t="s">
        <v>78</v>
      </c>
      <c r="B24" s="1">
        <v>45676</v>
      </c>
      <c r="C24" t="s">
        <v>41</v>
      </c>
      <c r="D24" t="s">
        <v>24</v>
      </c>
      <c r="E24">
        <v>4</v>
      </c>
    </row>
    <row r="25" spans="1:5">
      <c r="A25" t="s">
        <v>79</v>
      </c>
      <c r="B25" s="1">
        <v>45677</v>
      </c>
      <c r="C25" t="s">
        <v>33</v>
      </c>
      <c r="D25" t="s">
        <v>19</v>
      </c>
      <c r="E25">
        <v>1</v>
      </c>
    </row>
    <row r="26" spans="1:5">
      <c r="A26" t="s">
        <v>80</v>
      </c>
      <c r="B26" s="1">
        <v>45678</v>
      </c>
      <c r="C26" t="s">
        <v>49</v>
      </c>
      <c r="D26" t="s">
        <v>24</v>
      </c>
      <c r="E26">
        <v>1</v>
      </c>
    </row>
    <row r="27" spans="1:5">
      <c r="A27" t="s">
        <v>81</v>
      </c>
      <c r="B27" s="1">
        <v>45678</v>
      </c>
      <c r="C27" t="s">
        <v>45</v>
      </c>
      <c r="D27" t="s">
        <v>5</v>
      </c>
      <c r="E27">
        <v>7</v>
      </c>
    </row>
    <row r="28" spans="1:5">
      <c r="A28" t="s">
        <v>82</v>
      </c>
      <c r="B28" s="1">
        <v>45679</v>
      </c>
      <c r="C28" t="s">
        <v>37</v>
      </c>
      <c r="D28" t="s">
        <v>8</v>
      </c>
      <c r="E28">
        <v>5</v>
      </c>
    </row>
    <row r="29" spans="1:5">
      <c r="A29" t="s">
        <v>83</v>
      </c>
      <c r="B29" s="1">
        <v>45679</v>
      </c>
      <c r="C29" t="s">
        <v>41</v>
      </c>
      <c r="D29" t="s">
        <v>17</v>
      </c>
      <c r="E29">
        <v>7</v>
      </c>
    </row>
    <row r="30" spans="1:5">
      <c r="A30" t="s">
        <v>84</v>
      </c>
      <c r="B30" s="1">
        <v>45680</v>
      </c>
      <c r="C30" t="s">
        <v>45</v>
      </c>
      <c r="D30" t="s">
        <v>8</v>
      </c>
      <c r="E30">
        <v>1</v>
      </c>
    </row>
    <row r="31" spans="1:5">
      <c r="A31" t="s">
        <v>85</v>
      </c>
      <c r="B31" s="1">
        <v>45682</v>
      </c>
      <c r="C31" t="s">
        <v>49</v>
      </c>
      <c r="D31" t="s">
        <v>10</v>
      </c>
      <c r="E31">
        <v>8</v>
      </c>
    </row>
    <row r="32" spans="1:5">
      <c r="A32" t="s">
        <v>86</v>
      </c>
      <c r="B32" s="1">
        <v>45683</v>
      </c>
      <c r="C32" t="s">
        <v>41</v>
      </c>
      <c r="D32" t="s">
        <v>19</v>
      </c>
      <c r="E32">
        <v>4</v>
      </c>
    </row>
    <row r="33" spans="1:5">
      <c r="A33" t="s">
        <v>87</v>
      </c>
      <c r="B33" s="1">
        <v>45684</v>
      </c>
      <c r="C33" t="s">
        <v>41</v>
      </c>
      <c r="D33" t="s">
        <v>19</v>
      </c>
      <c r="E33">
        <v>10</v>
      </c>
    </row>
    <row r="34" spans="1:5">
      <c r="A34" t="s">
        <v>88</v>
      </c>
      <c r="B34" s="1">
        <v>45685</v>
      </c>
      <c r="C34" t="s">
        <v>37</v>
      </c>
      <c r="D34" t="s">
        <v>17</v>
      </c>
      <c r="E34">
        <v>2</v>
      </c>
    </row>
    <row r="35" spans="1:5">
      <c r="A35" t="s">
        <v>89</v>
      </c>
      <c r="B35" s="1">
        <v>45685</v>
      </c>
      <c r="C35" t="s">
        <v>37</v>
      </c>
      <c r="D35" t="s">
        <v>17</v>
      </c>
      <c r="E35">
        <v>5</v>
      </c>
    </row>
    <row r="36" spans="1:5">
      <c r="A36" t="s">
        <v>90</v>
      </c>
      <c r="B36" s="1">
        <v>45686</v>
      </c>
      <c r="C36" t="s">
        <v>37</v>
      </c>
      <c r="D36" t="s">
        <v>24</v>
      </c>
      <c r="E36">
        <v>1</v>
      </c>
    </row>
    <row r="37" spans="1:5">
      <c r="A37" t="s">
        <v>91</v>
      </c>
      <c r="B37" s="1">
        <v>45690</v>
      </c>
      <c r="C37" t="s">
        <v>41</v>
      </c>
      <c r="D37" t="s">
        <v>24</v>
      </c>
      <c r="E37">
        <v>9</v>
      </c>
    </row>
    <row r="38" spans="1:5">
      <c r="A38" t="s">
        <v>92</v>
      </c>
      <c r="B38" s="1">
        <v>45690</v>
      </c>
      <c r="C38" t="s">
        <v>45</v>
      </c>
      <c r="D38" t="s">
        <v>5</v>
      </c>
      <c r="E38">
        <v>8</v>
      </c>
    </row>
    <row r="39" spans="1:5">
      <c r="A39" t="s">
        <v>93</v>
      </c>
      <c r="B39" s="1">
        <v>45690</v>
      </c>
      <c r="C39" t="s">
        <v>37</v>
      </c>
      <c r="D39" t="s">
        <v>12</v>
      </c>
      <c r="E39">
        <v>1</v>
      </c>
    </row>
    <row r="40" spans="1:5">
      <c r="A40" t="s">
        <v>94</v>
      </c>
      <c r="B40" s="1">
        <v>45692</v>
      </c>
      <c r="C40" t="s">
        <v>49</v>
      </c>
      <c r="D40" t="s">
        <v>10</v>
      </c>
      <c r="E40">
        <v>5</v>
      </c>
    </row>
    <row r="41" spans="1:5">
      <c r="A41" t="s">
        <v>95</v>
      </c>
      <c r="B41" s="1">
        <v>45692</v>
      </c>
      <c r="C41" t="s">
        <v>45</v>
      </c>
      <c r="D41" t="s">
        <v>14</v>
      </c>
      <c r="E41">
        <v>4</v>
      </c>
    </row>
    <row r="42" spans="1:5">
      <c r="A42" t="s">
        <v>96</v>
      </c>
      <c r="B42" s="1">
        <v>45692</v>
      </c>
      <c r="C42" t="s">
        <v>41</v>
      </c>
      <c r="D42" t="s">
        <v>26</v>
      </c>
      <c r="E42">
        <v>7</v>
      </c>
    </row>
    <row r="43" spans="1:5">
      <c r="A43" t="s">
        <v>97</v>
      </c>
      <c r="B43" s="1">
        <v>45692</v>
      </c>
      <c r="C43" t="s">
        <v>37</v>
      </c>
      <c r="D43" t="s">
        <v>10</v>
      </c>
      <c r="E43">
        <v>1</v>
      </c>
    </row>
    <row r="44" spans="1:5">
      <c r="A44" t="s">
        <v>98</v>
      </c>
      <c r="B44" s="1">
        <v>45693</v>
      </c>
      <c r="C44" t="s">
        <v>45</v>
      </c>
      <c r="D44" t="s">
        <v>12</v>
      </c>
      <c r="E44">
        <v>4</v>
      </c>
    </row>
    <row r="45" spans="1:5">
      <c r="A45" t="s">
        <v>99</v>
      </c>
      <c r="B45" s="1">
        <v>45693</v>
      </c>
      <c r="C45" t="s">
        <v>33</v>
      </c>
      <c r="D45" t="s">
        <v>10</v>
      </c>
      <c r="E45">
        <v>7</v>
      </c>
    </row>
    <row r="46" spans="1:5">
      <c r="A46" t="s">
        <v>100</v>
      </c>
      <c r="B46" s="1">
        <v>45693</v>
      </c>
      <c r="C46" t="s">
        <v>41</v>
      </c>
      <c r="D46" t="s">
        <v>10</v>
      </c>
      <c r="E46">
        <v>10</v>
      </c>
    </row>
    <row r="47" spans="1:5">
      <c r="A47" t="s">
        <v>101</v>
      </c>
      <c r="B47" s="1">
        <v>45694</v>
      </c>
      <c r="C47" t="s">
        <v>37</v>
      </c>
      <c r="D47" t="s">
        <v>14</v>
      </c>
      <c r="E47">
        <v>4</v>
      </c>
    </row>
    <row r="48" spans="1:5">
      <c r="A48" t="s">
        <v>102</v>
      </c>
      <c r="B48" s="1">
        <v>45694</v>
      </c>
      <c r="C48" t="s">
        <v>49</v>
      </c>
      <c r="D48" t="s">
        <v>5</v>
      </c>
      <c r="E48">
        <v>5</v>
      </c>
    </row>
    <row r="49" spans="1:5">
      <c r="A49" t="s">
        <v>103</v>
      </c>
      <c r="B49" s="1">
        <v>45694</v>
      </c>
      <c r="C49" t="s">
        <v>49</v>
      </c>
      <c r="D49" t="s">
        <v>10</v>
      </c>
      <c r="E49">
        <v>1</v>
      </c>
    </row>
    <row r="50" spans="1:5">
      <c r="A50" t="s">
        <v>104</v>
      </c>
      <c r="B50" s="1">
        <v>45695</v>
      </c>
      <c r="C50" t="s">
        <v>37</v>
      </c>
      <c r="D50" t="s">
        <v>14</v>
      </c>
      <c r="E50">
        <v>7</v>
      </c>
    </row>
    <row r="51" spans="1:5">
      <c r="A51" t="s">
        <v>105</v>
      </c>
      <c r="B51" s="1">
        <v>45696</v>
      </c>
      <c r="C51" t="s">
        <v>49</v>
      </c>
      <c r="D51" t="s">
        <v>26</v>
      </c>
      <c r="E51">
        <v>10</v>
      </c>
    </row>
    <row r="52" spans="1:5">
      <c r="A52" t="s">
        <v>106</v>
      </c>
      <c r="B52" s="1">
        <v>45696</v>
      </c>
      <c r="C52" t="s">
        <v>45</v>
      </c>
      <c r="D52" t="s">
        <v>8</v>
      </c>
      <c r="E52">
        <v>8</v>
      </c>
    </row>
    <row r="53" spans="1:5">
      <c r="A53" t="s">
        <v>107</v>
      </c>
      <c r="B53" s="1">
        <v>45696</v>
      </c>
      <c r="C53" t="s">
        <v>41</v>
      </c>
      <c r="D53" t="s">
        <v>8</v>
      </c>
      <c r="E53">
        <v>6</v>
      </c>
    </row>
    <row r="54" spans="1:5">
      <c r="A54" t="s">
        <v>108</v>
      </c>
      <c r="B54" s="1">
        <v>45696</v>
      </c>
      <c r="C54" t="s">
        <v>45</v>
      </c>
      <c r="D54" t="s">
        <v>10</v>
      </c>
      <c r="E54">
        <v>10</v>
      </c>
    </row>
    <row r="55" spans="1:5">
      <c r="A55" t="s">
        <v>109</v>
      </c>
      <c r="B55" s="1">
        <v>45698</v>
      </c>
      <c r="C55" t="s">
        <v>45</v>
      </c>
      <c r="D55" t="s">
        <v>5</v>
      </c>
      <c r="E55">
        <v>1</v>
      </c>
    </row>
    <row r="56" spans="1:5">
      <c r="A56" t="s">
        <v>110</v>
      </c>
      <c r="B56" s="1">
        <v>45698</v>
      </c>
      <c r="C56" t="s">
        <v>37</v>
      </c>
      <c r="D56" t="s">
        <v>21</v>
      </c>
      <c r="E56">
        <v>8</v>
      </c>
    </row>
    <row r="57" spans="1:5">
      <c r="A57" t="s">
        <v>111</v>
      </c>
      <c r="B57" s="1">
        <v>45699</v>
      </c>
      <c r="C57" t="s">
        <v>33</v>
      </c>
      <c r="D57" t="s">
        <v>24</v>
      </c>
      <c r="E57">
        <v>2</v>
      </c>
    </row>
    <row r="58" spans="1:5">
      <c r="A58" t="s">
        <v>112</v>
      </c>
      <c r="B58" s="1">
        <v>45699</v>
      </c>
      <c r="C58" t="s">
        <v>49</v>
      </c>
      <c r="D58" t="s">
        <v>17</v>
      </c>
      <c r="E58">
        <v>9</v>
      </c>
    </row>
    <row r="59" spans="1:5">
      <c r="A59" t="s">
        <v>113</v>
      </c>
      <c r="B59" s="1">
        <v>45700</v>
      </c>
      <c r="C59" t="s">
        <v>45</v>
      </c>
      <c r="D59" t="s">
        <v>8</v>
      </c>
      <c r="E59">
        <v>4</v>
      </c>
    </row>
    <row r="60" spans="1:5">
      <c r="A60" t="s">
        <v>114</v>
      </c>
      <c r="B60" s="1">
        <v>45701</v>
      </c>
      <c r="C60" t="s">
        <v>41</v>
      </c>
      <c r="D60" t="s">
        <v>10</v>
      </c>
      <c r="E60">
        <v>6</v>
      </c>
    </row>
    <row r="61" spans="1:5">
      <c r="A61" t="s">
        <v>115</v>
      </c>
      <c r="B61" s="1">
        <v>45701</v>
      </c>
      <c r="C61" t="s">
        <v>49</v>
      </c>
      <c r="D61" t="s">
        <v>8</v>
      </c>
      <c r="E61">
        <v>10</v>
      </c>
    </row>
    <row r="62" spans="1:5">
      <c r="A62" t="s">
        <v>116</v>
      </c>
      <c r="B62" s="1">
        <v>45701</v>
      </c>
      <c r="C62" t="s">
        <v>33</v>
      </c>
      <c r="D62" t="s">
        <v>19</v>
      </c>
      <c r="E62">
        <v>2</v>
      </c>
    </row>
    <row r="63" spans="1:5">
      <c r="A63" t="s">
        <v>117</v>
      </c>
      <c r="B63" s="1">
        <v>45702</v>
      </c>
      <c r="C63" t="s">
        <v>33</v>
      </c>
      <c r="D63" t="s">
        <v>14</v>
      </c>
      <c r="E63">
        <v>9</v>
      </c>
    </row>
    <row r="64" spans="1:5">
      <c r="A64" t="s">
        <v>118</v>
      </c>
      <c r="B64" s="1">
        <v>45703</v>
      </c>
      <c r="C64" t="s">
        <v>49</v>
      </c>
      <c r="D64" t="s">
        <v>12</v>
      </c>
      <c r="E64">
        <v>6</v>
      </c>
    </row>
    <row r="65" spans="1:5">
      <c r="A65" t="s">
        <v>119</v>
      </c>
      <c r="B65" s="1">
        <v>45704</v>
      </c>
      <c r="C65" t="s">
        <v>41</v>
      </c>
      <c r="D65" t="s">
        <v>8</v>
      </c>
      <c r="E65">
        <v>9</v>
      </c>
    </row>
    <row r="66" spans="1:5">
      <c r="A66" t="s">
        <v>120</v>
      </c>
      <c r="B66" s="1">
        <v>45704</v>
      </c>
      <c r="C66" t="s">
        <v>33</v>
      </c>
      <c r="D66" t="s">
        <v>21</v>
      </c>
      <c r="E66">
        <v>10</v>
      </c>
    </row>
    <row r="67" spans="1:5">
      <c r="A67" t="s">
        <v>121</v>
      </c>
      <c r="B67" s="1">
        <v>45705</v>
      </c>
      <c r="C67" t="s">
        <v>49</v>
      </c>
      <c r="D67" t="s">
        <v>24</v>
      </c>
      <c r="E67">
        <v>1</v>
      </c>
    </row>
    <row r="68" spans="1:5">
      <c r="A68" t="s">
        <v>122</v>
      </c>
      <c r="B68" s="1">
        <v>45705</v>
      </c>
      <c r="C68" t="s">
        <v>37</v>
      </c>
      <c r="D68" t="s">
        <v>17</v>
      </c>
      <c r="E68">
        <v>5</v>
      </c>
    </row>
    <row r="69" spans="1:5">
      <c r="A69" t="s">
        <v>123</v>
      </c>
      <c r="B69" s="1">
        <v>45706</v>
      </c>
      <c r="C69" t="s">
        <v>49</v>
      </c>
      <c r="D69" t="s">
        <v>12</v>
      </c>
      <c r="E69">
        <v>1</v>
      </c>
    </row>
    <row r="70" spans="1:5">
      <c r="A70" t="s">
        <v>124</v>
      </c>
      <c r="B70" s="1">
        <v>45706</v>
      </c>
      <c r="C70" t="s">
        <v>49</v>
      </c>
      <c r="D70" t="s">
        <v>17</v>
      </c>
      <c r="E70">
        <v>2</v>
      </c>
    </row>
    <row r="71" spans="1:5">
      <c r="A71" t="s">
        <v>125</v>
      </c>
      <c r="B71" s="1">
        <v>45707</v>
      </c>
      <c r="C71" t="s">
        <v>45</v>
      </c>
      <c r="D71" t="s">
        <v>12</v>
      </c>
      <c r="E71">
        <v>8</v>
      </c>
    </row>
    <row r="72" spans="1:5">
      <c r="A72" t="s">
        <v>126</v>
      </c>
      <c r="B72" s="1">
        <v>45708</v>
      </c>
      <c r="C72" t="s">
        <v>49</v>
      </c>
      <c r="D72" t="s">
        <v>5</v>
      </c>
      <c r="E72">
        <v>9</v>
      </c>
    </row>
    <row r="73" spans="1:5">
      <c r="A73" t="s">
        <v>127</v>
      </c>
      <c r="B73" s="1">
        <v>45708</v>
      </c>
      <c r="C73" t="s">
        <v>41</v>
      </c>
      <c r="D73" t="s">
        <v>5</v>
      </c>
      <c r="E73">
        <v>1</v>
      </c>
    </row>
    <row r="74" spans="1:5">
      <c r="A74" t="s">
        <v>128</v>
      </c>
      <c r="B74" s="1">
        <v>45708</v>
      </c>
      <c r="C74" t="s">
        <v>49</v>
      </c>
      <c r="D74" t="s">
        <v>5</v>
      </c>
      <c r="E74">
        <v>3</v>
      </c>
    </row>
    <row r="75" spans="1:5">
      <c r="A75" t="s">
        <v>129</v>
      </c>
      <c r="B75" s="1">
        <v>45709</v>
      </c>
      <c r="C75" t="s">
        <v>45</v>
      </c>
      <c r="D75" t="s">
        <v>21</v>
      </c>
      <c r="E75">
        <v>8</v>
      </c>
    </row>
    <row r="76" spans="1:5">
      <c r="A76" t="s">
        <v>130</v>
      </c>
      <c r="B76" s="1">
        <v>45709</v>
      </c>
      <c r="C76" t="s">
        <v>33</v>
      </c>
      <c r="D76" t="s">
        <v>5</v>
      </c>
      <c r="E76">
        <v>7</v>
      </c>
    </row>
    <row r="77" spans="1:5">
      <c r="A77" t="s">
        <v>131</v>
      </c>
      <c r="B77" s="1">
        <v>45709</v>
      </c>
      <c r="C77" t="s">
        <v>49</v>
      </c>
      <c r="D77" t="s">
        <v>8</v>
      </c>
      <c r="E77">
        <v>2</v>
      </c>
    </row>
    <row r="78" spans="1:5">
      <c r="A78" t="s">
        <v>132</v>
      </c>
      <c r="B78" s="1">
        <v>45710</v>
      </c>
      <c r="C78" t="s">
        <v>37</v>
      </c>
      <c r="D78" t="s">
        <v>8</v>
      </c>
      <c r="E78">
        <v>2</v>
      </c>
    </row>
    <row r="79" spans="1:5">
      <c r="A79" t="s">
        <v>133</v>
      </c>
      <c r="B79" s="1">
        <v>45710</v>
      </c>
      <c r="C79" t="s">
        <v>33</v>
      </c>
      <c r="D79" t="s">
        <v>21</v>
      </c>
      <c r="E79">
        <v>8</v>
      </c>
    </row>
    <row r="80" spans="1:5">
      <c r="A80" t="s">
        <v>134</v>
      </c>
      <c r="B80" s="1">
        <v>45710</v>
      </c>
      <c r="C80" t="s">
        <v>41</v>
      </c>
      <c r="D80" t="s">
        <v>21</v>
      </c>
      <c r="E80">
        <v>1</v>
      </c>
    </row>
    <row r="81" spans="1:5">
      <c r="A81" t="s">
        <v>135</v>
      </c>
      <c r="B81" s="1">
        <v>45710</v>
      </c>
      <c r="C81" t="s">
        <v>33</v>
      </c>
      <c r="D81" t="s">
        <v>5</v>
      </c>
      <c r="E81">
        <v>7</v>
      </c>
    </row>
    <row r="82" spans="1:5">
      <c r="A82" t="s">
        <v>136</v>
      </c>
      <c r="B82" s="1">
        <v>45710</v>
      </c>
      <c r="C82" t="s">
        <v>33</v>
      </c>
      <c r="D82" t="s">
        <v>17</v>
      </c>
      <c r="E82">
        <v>2</v>
      </c>
    </row>
    <row r="83" spans="1:5">
      <c r="A83" t="s">
        <v>137</v>
      </c>
      <c r="B83" s="1">
        <v>45711</v>
      </c>
      <c r="C83" t="s">
        <v>49</v>
      </c>
      <c r="D83" t="s">
        <v>14</v>
      </c>
      <c r="E83">
        <v>6</v>
      </c>
    </row>
    <row r="84" spans="1:5">
      <c r="A84" t="s">
        <v>138</v>
      </c>
      <c r="B84" s="1">
        <v>45711</v>
      </c>
      <c r="C84" t="s">
        <v>41</v>
      </c>
      <c r="D84" t="s">
        <v>5</v>
      </c>
      <c r="E84">
        <v>9</v>
      </c>
    </row>
    <row r="85" spans="1:5">
      <c r="A85" t="s">
        <v>139</v>
      </c>
      <c r="B85" s="1">
        <v>45711</v>
      </c>
      <c r="C85" t="s">
        <v>45</v>
      </c>
      <c r="D85" t="s">
        <v>12</v>
      </c>
      <c r="E85">
        <v>1</v>
      </c>
    </row>
    <row r="86" spans="1:5">
      <c r="A86" t="s">
        <v>140</v>
      </c>
      <c r="B86" s="1">
        <v>45711</v>
      </c>
      <c r="C86" t="s">
        <v>37</v>
      </c>
      <c r="D86" t="s">
        <v>24</v>
      </c>
      <c r="E86">
        <v>7</v>
      </c>
    </row>
    <row r="87" spans="1:5">
      <c r="A87" t="s">
        <v>141</v>
      </c>
      <c r="B87" s="1">
        <v>45711</v>
      </c>
      <c r="C87" t="s">
        <v>33</v>
      </c>
      <c r="D87" t="s">
        <v>19</v>
      </c>
      <c r="E87">
        <v>7</v>
      </c>
    </row>
    <row r="88" spans="1:5">
      <c r="A88" t="s">
        <v>142</v>
      </c>
      <c r="B88" s="1">
        <v>45712</v>
      </c>
      <c r="C88" t="s">
        <v>33</v>
      </c>
      <c r="D88" t="s">
        <v>14</v>
      </c>
      <c r="E88">
        <v>7</v>
      </c>
    </row>
    <row r="89" spans="1:5">
      <c r="A89" t="s">
        <v>143</v>
      </c>
      <c r="B89" s="1">
        <v>45714</v>
      </c>
      <c r="C89" t="s">
        <v>41</v>
      </c>
      <c r="D89" t="s">
        <v>19</v>
      </c>
      <c r="E89">
        <v>3</v>
      </c>
    </row>
    <row r="90" spans="1:5">
      <c r="A90" t="s">
        <v>144</v>
      </c>
      <c r="B90" s="1">
        <v>45715</v>
      </c>
      <c r="C90" t="s">
        <v>33</v>
      </c>
      <c r="D90" t="s">
        <v>14</v>
      </c>
      <c r="E90">
        <v>1</v>
      </c>
    </row>
    <row r="91" spans="1:5">
      <c r="A91" t="s">
        <v>145</v>
      </c>
      <c r="B91" s="1">
        <v>45715</v>
      </c>
      <c r="C91" t="s">
        <v>45</v>
      </c>
      <c r="D91" t="s">
        <v>8</v>
      </c>
      <c r="E91">
        <v>3</v>
      </c>
    </row>
    <row r="92" spans="1:5">
      <c r="A92" t="s">
        <v>146</v>
      </c>
      <c r="B92" s="1">
        <v>45715</v>
      </c>
      <c r="C92" t="s">
        <v>37</v>
      </c>
      <c r="D92" t="s">
        <v>21</v>
      </c>
      <c r="E92">
        <v>2</v>
      </c>
    </row>
    <row r="93" spans="1:5">
      <c r="A93" t="s">
        <v>147</v>
      </c>
      <c r="B93" s="1">
        <v>45715</v>
      </c>
      <c r="C93" t="s">
        <v>37</v>
      </c>
      <c r="D93" t="s">
        <v>17</v>
      </c>
      <c r="E93">
        <v>9</v>
      </c>
    </row>
    <row r="94" spans="1:5">
      <c r="A94" t="s">
        <v>148</v>
      </c>
      <c r="B94" s="1">
        <v>45716</v>
      </c>
      <c r="C94" t="s">
        <v>41</v>
      </c>
      <c r="D94" t="s">
        <v>14</v>
      </c>
      <c r="E94">
        <v>9</v>
      </c>
    </row>
    <row r="95" spans="1:5">
      <c r="A95" t="s">
        <v>149</v>
      </c>
      <c r="B95" s="1">
        <v>45717</v>
      </c>
      <c r="C95" t="s">
        <v>33</v>
      </c>
      <c r="D95" t="s">
        <v>8</v>
      </c>
      <c r="E95">
        <v>1</v>
      </c>
    </row>
    <row r="96" spans="1:5">
      <c r="A96" t="s">
        <v>150</v>
      </c>
      <c r="B96" s="1">
        <v>45717</v>
      </c>
      <c r="C96" t="s">
        <v>45</v>
      </c>
      <c r="D96" t="s">
        <v>17</v>
      </c>
      <c r="E96">
        <v>4</v>
      </c>
    </row>
    <row r="97" spans="1:5">
      <c r="A97" t="s">
        <v>151</v>
      </c>
      <c r="B97" s="1">
        <v>45719</v>
      </c>
      <c r="C97" t="s">
        <v>33</v>
      </c>
      <c r="D97" t="s">
        <v>21</v>
      </c>
      <c r="E97">
        <v>6</v>
      </c>
    </row>
    <row r="98" spans="1:5">
      <c r="A98" t="s">
        <v>152</v>
      </c>
      <c r="B98" s="1">
        <v>45719</v>
      </c>
      <c r="C98" t="s">
        <v>49</v>
      </c>
      <c r="D98" t="s">
        <v>12</v>
      </c>
      <c r="E98">
        <v>1</v>
      </c>
    </row>
    <row r="99" spans="1:5">
      <c r="A99" t="s">
        <v>153</v>
      </c>
      <c r="B99" s="1">
        <v>45719</v>
      </c>
      <c r="C99" t="s">
        <v>37</v>
      </c>
      <c r="D99" t="s">
        <v>12</v>
      </c>
      <c r="E99">
        <v>9</v>
      </c>
    </row>
    <row r="100" spans="1:5">
      <c r="A100" t="s">
        <v>154</v>
      </c>
      <c r="B100" s="1">
        <v>45720</v>
      </c>
      <c r="C100" t="s">
        <v>37</v>
      </c>
      <c r="D100" t="s">
        <v>12</v>
      </c>
      <c r="E100">
        <v>4</v>
      </c>
    </row>
    <row r="101" spans="1:5">
      <c r="A101" t="s">
        <v>155</v>
      </c>
      <c r="B101" s="1">
        <v>45720</v>
      </c>
      <c r="C101" t="s">
        <v>33</v>
      </c>
      <c r="D101" t="s">
        <v>12</v>
      </c>
      <c r="E101">
        <v>6</v>
      </c>
    </row>
    <row r="102" spans="1:5">
      <c r="A102" t="s">
        <v>156</v>
      </c>
      <c r="B102" s="1">
        <v>45720</v>
      </c>
      <c r="C102" t="s">
        <v>49</v>
      </c>
      <c r="D102" t="s">
        <v>14</v>
      </c>
      <c r="E102">
        <v>6</v>
      </c>
    </row>
    <row r="103" spans="1:5">
      <c r="A103" t="s">
        <v>157</v>
      </c>
      <c r="B103" s="1">
        <v>45722</v>
      </c>
      <c r="C103" t="s">
        <v>41</v>
      </c>
      <c r="D103" t="s">
        <v>21</v>
      </c>
      <c r="E103">
        <v>6</v>
      </c>
    </row>
    <row r="104" spans="1:5">
      <c r="A104" t="s">
        <v>158</v>
      </c>
      <c r="B104" s="1">
        <v>45722</v>
      </c>
      <c r="C104" t="s">
        <v>49</v>
      </c>
      <c r="D104" t="s">
        <v>12</v>
      </c>
      <c r="E104">
        <v>6</v>
      </c>
    </row>
    <row r="105" spans="1:5">
      <c r="A105" t="s">
        <v>159</v>
      </c>
      <c r="B105" s="1">
        <v>45723</v>
      </c>
      <c r="C105" t="s">
        <v>33</v>
      </c>
      <c r="D105" t="s">
        <v>5</v>
      </c>
      <c r="E105">
        <v>6</v>
      </c>
    </row>
    <row r="106" spans="1:5">
      <c r="A106" t="s">
        <v>160</v>
      </c>
      <c r="B106" s="1">
        <v>45725</v>
      </c>
      <c r="C106" t="s">
        <v>41</v>
      </c>
      <c r="D106" t="s">
        <v>14</v>
      </c>
      <c r="E106">
        <v>10</v>
      </c>
    </row>
    <row r="107" spans="1:5">
      <c r="A107" t="s">
        <v>161</v>
      </c>
      <c r="B107" s="1">
        <v>45726</v>
      </c>
      <c r="C107" t="s">
        <v>49</v>
      </c>
      <c r="D107" t="s">
        <v>21</v>
      </c>
      <c r="E107">
        <v>8</v>
      </c>
    </row>
    <row r="108" spans="1:5">
      <c r="A108" t="s">
        <v>162</v>
      </c>
      <c r="B108" s="1">
        <v>45726</v>
      </c>
      <c r="C108" t="s">
        <v>45</v>
      </c>
      <c r="D108" t="s">
        <v>24</v>
      </c>
      <c r="E108">
        <v>4</v>
      </c>
    </row>
    <row r="109" spans="1:5">
      <c r="A109" t="s">
        <v>163</v>
      </c>
      <c r="B109" s="1">
        <v>45726</v>
      </c>
      <c r="C109" t="s">
        <v>45</v>
      </c>
      <c r="D109" t="s">
        <v>12</v>
      </c>
      <c r="E109">
        <v>4</v>
      </c>
    </row>
    <row r="110" spans="1:5">
      <c r="A110" t="s">
        <v>164</v>
      </c>
      <c r="B110" s="1">
        <v>45729</v>
      </c>
      <c r="C110" t="s">
        <v>37</v>
      </c>
      <c r="D110" t="s">
        <v>14</v>
      </c>
      <c r="E110">
        <v>5</v>
      </c>
    </row>
    <row r="111" spans="1:5">
      <c r="A111" t="s">
        <v>165</v>
      </c>
      <c r="B111" s="1">
        <v>45732</v>
      </c>
      <c r="C111" t="s">
        <v>41</v>
      </c>
      <c r="D111" t="s">
        <v>26</v>
      </c>
      <c r="E111">
        <v>2</v>
      </c>
    </row>
    <row r="112" spans="1:5">
      <c r="A112" t="s">
        <v>166</v>
      </c>
      <c r="B112" s="1">
        <v>45732</v>
      </c>
      <c r="C112" t="s">
        <v>33</v>
      </c>
      <c r="D112" t="s">
        <v>14</v>
      </c>
      <c r="E112">
        <v>2</v>
      </c>
    </row>
    <row r="113" spans="1:5">
      <c r="A113" t="s">
        <v>167</v>
      </c>
      <c r="B113" s="1">
        <v>45733</v>
      </c>
      <c r="C113" t="s">
        <v>45</v>
      </c>
      <c r="D113" t="s">
        <v>10</v>
      </c>
      <c r="E113">
        <v>8</v>
      </c>
    </row>
    <row r="114" spans="1:5">
      <c r="A114" t="s">
        <v>168</v>
      </c>
      <c r="B114" s="1">
        <v>45733</v>
      </c>
      <c r="C114" t="s">
        <v>33</v>
      </c>
      <c r="D114" t="s">
        <v>24</v>
      </c>
      <c r="E114">
        <v>1</v>
      </c>
    </row>
    <row r="115" spans="1:5">
      <c r="A115" t="s">
        <v>169</v>
      </c>
      <c r="B115" s="1">
        <v>45738</v>
      </c>
      <c r="C115" t="s">
        <v>37</v>
      </c>
      <c r="D115" t="s">
        <v>14</v>
      </c>
      <c r="E115">
        <v>3</v>
      </c>
    </row>
    <row r="116" spans="1:5">
      <c r="A116" t="s">
        <v>170</v>
      </c>
      <c r="B116" s="1">
        <v>45738</v>
      </c>
      <c r="C116" t="s">
        <v>33</v>
      </c>
      <c r="D116" t="s">
        <v>26</v>
      </c>
      <c r="E116">
        <v>1</v>
      </c>
    </row>
    <row r="117" spans="1:5">
      <c r="A117" t="s">
        <v>171</v>
      </c>
      <c r="B117" s="1">
        <v>45738</v>
      </c>
      <c r="C117" t="s">
        <v>41</v>
      </c>
      <c r="D117" t="s">
        <v>24</v>
      </c>
      <c r="E117">
        <v>2</v>
      </c>
    </row>
    <row r="118" spans="1:5">
      <c r="A118" t="s">
        <v>172</v>
      </c>
      <c r="B118" s="1">
        <v>45741</v>
      </c>
      <c r="C118" t="s">
        <v>41</v>
      </c>
      <c r="D118" t="s">
        <v>5</v>
      </c>
      <c r="E118">
        <v>5</v>
      </c>
    </row>
    <row r="119" spans="1:5">
      <c r="A119" t="s">
        <v>173</v>
      </c>
      <c r="B119" s="1">
        <v>45743</v>
      </c>
      <c r="C119" t="s">
        <v>49</v>
      </c>
      <c r="D119" t="s">
        <v>14</v>
      </c>
      <c r="E119">
        <v>10</v>
      </c>
    </row>
    <row r="120" spans="1:5">
      <c r="A120" t="s">
        <v>174</v>
      </c>
      <c r="B120" s="1">
        <v>45743</v>
      </c>
      <c r="C120" t="s">
        <v>37</v>
      </c>
      <c r="D120" t="s">
        <v>24</v>
      </c>
      <c r="E120">
        <v>7</v>
      </c>
    </row>
    <row r="121" spans="1:5">
      <c r="A121" t="s">
        <v>175</v>
      </c>
      <c r="B121" s="1">
        <v>45745</v>
      </c>
      <c r="C121" t="s">
        <v>49</v>
      </c>
      <c r="D121" t="s">
        <v>8</v>
      </c>
      <c r="E121">
        <v>10</v>
      </c>
    </row>
    <row r="122" spans="1:5">
      <c r="A122" t="s">
        <v>176</v>
      </c>
      <c r="B122" s="1">
        <v>45746</v>
      </c>
      <c r="C122" t="s">
        <v>37</v>
      </c>
      <c r="D122" t="s">
        <v>26</v>
      </c>
      <c r="E122">
        <v>2</v>
      </c>
    </row>
    <row r="123" spans="1:5">
      <c r="A123" t="s">
        <v>177</v>
      </c>
      <c r="B123" s="1">
        <v>45746</v>
      </c>
      <c r="C123" t="s">
        <v>49</v>
      </c>
      <c r="D123" t="s">
        <v>26</v>
      </c>
      <c r="E123">
        <v>9</v>
      </c>
    </row>
    <row r="124" spans="1:5">
      <c r="A124" t="s">
        <v>178</v>
      </c>
      <c r="B124" s="1">
        <v>45747</v>
      </c>
      <c r="C124" t="s">
        <v>37</v>
      </c>
      <c r="D124" t="s">
        <v>17</v>
      </c>
      <c r="E124">
        <v>3</v>
      </c>
    </row>
    <row r="125" spans="1:5">
      <c r="A125" t="s">
        <v>179</v>
      </c>
      <c r="B125" s="1">
        <v>45747</v>
      </c>
      <c r="C125" t="s">
        <v>41</v>
      </c>
      <c r="D125" t="s">
        <v>8</v>
      </c>
      <c r="E125">
        <v>4</v>
      </c>
    </row>
    <row r="126" spans="1:5">
      <c r="A126" t="s">
        <v>180</v>
      </c>
      <c r="B126" s="1">
        <v>45749</v>
      </c>
      <c r="C126" t="s">
        <v>33</v>
      </c>
      <c r="D126" t="s">
        <v>26</v>
      </c>
      <c r="E126">
        <v>2</v>
      </c>
    </row>
    <row r="127" spans="1:5">
      <c r="A127" t="s">
        <v>181</v>
      </c>
      <c r="B127" s="1">
        <v>45749</v>
      </c>
      <c r="C127" t="s">
        <v>33</v>
      </c>
      <c r="D127" t="s">
        <v>12</v>
      </c>
      <c r="E127">
        <v>10</v>
      </c>
    </row>
    <row r="128" spans="1:5">
      <c r="A128" t="s">
        <v>182</v>
      </c>
      <c r="B128" s="1">
        <v>45749</v>
      </c>
      <c r="C128" t="s">
        <v>45</v>
      </c>
      <c r="D128" t="s">
        <v>24</v>
      </c>
      <c r="E128">
        <v>6</v>
      </c>
    </row>
    <row r="129" spans="1:5">
      <c r="A129" t="s">
        <v>183</v>
      </c>
      <c r="B129" s="1">
        <v>45750</v>
      </c>
      <c r="C129" t="s">
        <v>41</v>
      </c>
      <c r="D129" t="s">
        <v>8</v>
      </c>
      <c r="E129">
        <v>2</v>
      </c>
    </row>
    <row r="130" spans="1:5">
      <c r="A130" t="s">
        <v>184</v>
      </c>
      <c r="B130" s="1">
        <v>45751</v>
      </c>
      <c r="C130" t="s">
        <v>41</v>
      </c>
      <c r="D130" t="s">
        <v>19</v>
      </c>
      <c r="E130">
        <v>6</v>
      </c>
    </row>
    <row r="131" spans="1:5">
      <c r="A131" t="s">
        <v>185</v>
      </c>
      <c r="B131" s="1">
        <v>45752</v>
      </c>
      <c r="C131" t="s">
        <v>41</v>
      </c>
      <c r="D131" t="s">
        <v>14</v>
      </c>
      <c r="E131">
        <v>8</v>
      </c>
    </row>
    <row r="132" spans="1:5">
      <c r="A132" t="s">
        <v>186</v>
      </c>
      <c r="B132" s="1">
        <v>45752</v>
      </c>
      <c r="C132" t="s">
        <v>33</v>
      </c>
      <c r="D132" t="s">
        <v>5</v>
      </c>
      <c r="E132">
        <v>3</v>
      </c>
    </row>
    <row r="133" spans="1:5">
      <c r="A133" t="s">
        <v>187</v>
      </c>
      <c r="B133" s="1">
        <v>45753</v>
      </c>
      <c r="C133" t="s">
        <v>41</v>
      </c>
      <c r="D133" t="s">
        <v>10</v>
      </c>
      <c r="E133">
        <v>8</v>
      </c>
    </row>
    <row r="134" spans="1:5">
      <c r="A134" t="s">
        <v>188</v>
      </c>
      <c r="B134" s="1">
        <v>45753</v>
      </c>
      <c r="C134" t="s">
        <v>45</v>
      </c>
      <c r="D134" t="s">
        <v>5</v>
      </c>
      <c r="E134">
        <v>4</v>
      </c>
    </row>
    <row r="135" spans="1:5">
      <c r="A135" t="s">
        <v>189</v>
      </c>
      <c r="B135" s="1">
        <v>45753</v>
      </c>
      <c r="C135" t="s">
        <v>41</v>
      </c>
      <c r="D135" t="s">
        <v>12</v>
      </c>
      <c r="E135">
        <v>4</v>
      </c>
    </row>
    <row r="136" spans="1:5">
      <c r="A136" t="s">
        <v>190</v>
      </c>
      <c r="B136" s="1">
        <v>45753</v>
      </c>
      <c r="C136" t="s">
        <v>49</v>
      </c>
      <c r="D136" t="s">
        <v>12</v>
      </c>
      <c r="E136">
        <v>8</v>
      </c>
    </row>
    <row r="137" spans="1:5">
      <c r="A137" t="s">
        <v>191</v>
      </c>
      <c r="B137" s="1">
        <v>45753</v>
      </c>
      <c r="C137" t="s">
        <v>49</v>
      </c>
      <c r="D137" t="s">
        <v>12</v>
      </c>
      <c r="E137">
        <v>2</v>
      </c>
    </row>
    <row r="138" spans="1:5">
      <c r="A138" t="s">
        <v>192</v>
      </c>
      <c r="B138" s="1">
        <v>45754</v>
      </c>
      <c r="C138" t="s">
        <v>45</v>
      </c>
      <c r="D138" t="s">
        <v>5</v>
      </c>
      <c r="E138">
        <v>6</v>
      </c>
    </row>
    <row r="139" spans="1:5">
      <c r="A139" t="s">
        <v>193</v>
      </c>
      <c r="B139" s="1">
        <v>45754</v>
      </c>
      <c r="C139" t="s">
        <v>41</v>
      </c>
      <c r="D139" t="s">
        <v>5</v>
      </c>
      <c r="E139">
        <v>2</v>
      </c>
    </row>
    <row r="140" spans="1:5">
      <c r="A140" t="s">
        <v>194</v>
      </c>
      <c r="B140" s="1">
        <v>45755</v>
      </c>
      <c r="C140" t="s">
        <v>41</v>
      </c>
      <c r="D140" t="s">
        <v>17</v>
      </c>
      <c r="E140">
        <v>2</v>
      </c>
    </row>
    <row r="141" spans="1:5">
      <c r="A141" t="s">
        <v>195</v>
      </c>
      <c r="B141" s="1">
        <v>45756</v>
      </c>
      <c r="C141" t="s">
        <v>37</v>
      </c>
      <c r="D141" t="s">
        <v>8</v>
      </c>
      <c r="E141">
        <v>1</v>
      </c>
    </row>
    <row r="142" spans="1:5">
      <c r="A142" t="s">
        <v>196</v>
      </c>
      <c r="B142" s="1">
        <v>45756</v>
      </c>
      <c r="C142" t="s">
        <v>41</v>
      </c>
      <c r="D142" t="s">
        <v>5</v>
      </c>
      <c r="E142">
        <v>10</v>
      </c>
    </row>
    <row r="143" spans="1:5">
      <c r="A143" t="s">
        <v>197</v>
      </c>
      <c r="B143" s="1">
        <v>45756</v>
      </c>
      <c r="C143" t="s">
        <v>49</v>
      </c>
      <c r="D143" t="s">
        <v>5</v>
      </c>
      <c r="E143">
        <v>1</v>
      </c>
    </row>
    <row r="144" spans="1:5">
      <c r="A144" t="s">
        <v>198</v>
      </c>
      <c r="B144" s="1">
        <v>45756</v>
      </c>
      <c r="C144" t="s">
        <v>41</v>
      </c>
      <c r="D144" t="s">
        <v>24</v>
      </c>
      <c r="E144">
        <v>2</v>
      </c>
    </row>
    <row r="145" spans="1:5">
      <c r="A145" t="s">
        <v>199</v>
      </c>
      <c r="B145" s="1">
        <v>45756</v>
      </c>
      <c r="C145" t="s">
        <v>33</v>
      </c>
      <c r="D145" t="s">
        <v>10</v>
      </c>
      <c r="E145">
        <v>5</v>
      </c>
    </row>
    <row r="146" spans="1:5">
      <c r="A146" t="s">
        <v>200</v>
      </c>
      <c r="B146" s="1">
        <v>45756</v>
      </c>
      <c r="C146" t="s">
        <v>33</v>
      </c>
      <c r="D146" t="s">
        <v>19</v>
      </c>
      <c r="E146">
        <v>1</v>
      </c>
    </row>
    <row r="147" spans="1:5">
      <c r="A147" t="s">
        <v>201</v>
      </c>
      <c r="B147" s="1">
        <v>45756</v>
      </c>
      <c r="C147" t="s">
        <v>45</v>
      </c>
      <c r="D147" t="s">
        <v>26</v>
      </c>
      <c r="E147">
        <v>3</v>
      </c>
    </row>
    <row r="148" spans="1:5">
      <c r="A148" t="s">
        <v>202</v>
      </c>
      <c r="B148" s="1">
        <v>45756</v>
      </c>
      <c r="C148" t="s">
        <v>37</v>
      </c>
      <c r="D148" t="s">
        <v>26</v>
      </c>
      <c r="E148">
        <v>7</v>
      </c>
    </row>
    <row r="149" spans="1:5">
      <c r="A149" t="s">
        <v>203</v>
      </c>
      <c r="B149" s="1">
        <v>45757</v>
      </c>
      <c r="C149" t="s">
        <v>41</v>
      </c>
      <c r="D149" t="s">
        <v>12</v>
      </c>
      <c r="E149">
        <v>7</v>
      </c>
    </row>
    <row r="150" spans="1:5">
      <c r="A150" t="s">
        <v>204</v>
      </c>
      <c r="B150" s="1">
        <v>45757</v>
      </c>
      <c r="C150" t="s">
        <v>45</v>
      </c>
      <c r="D150" t="s">
        <v>21</v>
      </c>
      <c r="E150">
        <v>9</v>
      </c>
    </row>
    <row r="151" spans="1:5">
      <c r="A151" t="s">
        <v>205</v>
      </c>
      <c r="B151" s="1">
        <v>45757</v>
      </c>
      <c r="C151" t="s">
        <v>37</v>
      </c>
      <c r="D151" t="s">
        <v>10</v>
      </c>
      <c r="E151">
        <v>7</v>
      </c>
    </row>
    <row r="152" spans="1:5">
      <c r="A152" t="s">
        <v>206</v>
      </c>
      <c r="B152" s="1">
        <v>45757</v>
      </c>
      <c r="C152" t="s">
        <v>49</v>
      </c>
      <c r="D152" t="s">
        <v>26</v>
      </c>
      <c r="E152">
        <v>1</v>
      </c>
    </row>
    <row r="153" spans="1:5">
      <c r="A153" t="s">
        <v>207</v>
      </c>
      <c r="B153" s="1">
        <v>45758</v>
      </c>
      <c r="C153" t="s">
        <v>41</v>
      </c>
      <c r="D153" t="s">
        <v>26</v>
      </c>
      <c r="E153">
        <v>4</v>
      </c>
    </row>
    <row r="154" spans="1:5">
      <c r="A154" t="s">
        <v>208</v>
      </c>
      <c r="B154" s="1">
        <v>45758</v>
      </c>
      <c r="C154" t="s">
        <v>45</v>
      </c>
      <c r="D154" t="s">
        <v>10</v>
      </c>
      <c r="E154">
        <v>8</v>
      </c>
    </row>
    <row r="155" spans="1:5">
      <c r="A155" t="s">
        <v>209</v>
      </c>
      <c r="B155" s="1">
        <v>45758</v>
      </c>
      <c r="C155" t="s">
        <v>45</v>
      </c>
      <c r="D155" t="s">
        <v>24</v>
      </c>
      <c r="E155">
        <v>5</v>
      </c>
    </row>
    <row r="156" spans="1:5">
      <c r="A156" t="s">
        <v>210</v>
      </c>
      <c r="B156" s="1">
        <v>45758</v>
      </c>
      <c r="C156" t="s">
        <v>45</v>
      </c>
      <c r="D156" t="s">
        <v>12</v>
      </c>
      <c r="E156">
        <v>5</v>
      </c>
    </row>
    <row r="157" spans="1:5">
      <c r="A157" t="s">
        <v>211</v>
      </c>
      <c r="B157" s="1">
        <v>45760</v>
      </c>
      <c r="C157" t="s">
        <v>49</v>
      </c>
      <c r="D157" t="s">
        <v>5</v>
      </c>
      <c r="E157">
        <v>7</v>
      </c>
    </row>
    <row r="158" spans="1:5">
      <c r="A158" t="s">
        <v>212</v>
      </c>
      <c r="B158" s="1">
        <v>45760</v>
      </c>
      <c r="C158" t="s">
        <v>33</v>
      </c>
      <c r="D158" t="s">
        <v>12</v>
      </c>
      <c r="E158">
        <v>4</v>
      </c>
    </row>
    <row r="159" spans="1:5">
      <c r="A159" t="s">
        <v>213</v>
      </c>
      <c r="B159" s="1">
        <v>45760</v>
      </c>
      <c r="C159" t="s">
        <v>45</v>
      </c>
      <c r="D159" t="s">
        <v>24</v>
      </c>
      <c r="E159">
        <v>10</v>
      </c>
    </row>
    <row r="160" spans="1:5">
      <c r="A160" t="s">
        <v>214</v>
      </c>
      <c r="B160" s="1">
        <v>45761</v>
      </c>
      <c r="C160" t="s">
        <v>33</v>
      </c>
      <c r="D160" t="s">
        <v>26</v>
      </c>
      <c r="E160">
        <v>3</v>
      </c>
    </row>
    <row r="161" spans="1:5">
      <c r="A161" t="s">
        <v>215</v>
      </c>
      <c r="B161" s="1">
        <v>45761</v>
      </c>
      <c r="C161" t="s">
        <v>37</v>
      </c>
      <c r="D161" t="s">
        <v>12</v>
      </c>
      <c r="E161">
        <v>7</v>
      </c>
    </row>
    <row r="162" spans="1:5">
      <c r="A162" t="s">
        <v>216</v>
      </c>
      <c r="B162" s="1">
        <v>45762</v>
      </c>
      <c r="C162" t="s">
        <v>37</v>
      </c>
      <c r="D162" t="s">
        <v>24</v>
      </c>
      <c r="E162">
        <v>6</v>
      </c>
    </row>
    <row r="163" spans="1:5">
      <c r="A163" t="s">
        <v>217</v>
      </c>
      <c r="B163" s="1">
        <v>45763</v>
      </c>
      <c r="C163" t="s">
        <v>49</v>
      </c>
      <c r="D163" t="s">
        <v>17</v>
      </c>
      <c r="E163">
        <v>5</v>
      </c>
    </row>
    <row r="164" spans="1:5">
      <c r="A164" t="s">
        <v>218</v>
      </c>
      <c r="B164" s="1">
        <v>45763</v>
      </c>
      <c r="C164" t="s">
        <v>41</v>
      </c>
      <c r="D164" t="s">
        <v>17</v>
      </c>
      <c r="E164">
        <v>8</v>
      </c>
    </row>
    <row r="165" spans="1:5">
      <c r="A165" t="s">
        <v>219</v>
      </c>
      <c r="B165" s="1">
        <v>45764</v>
      </c>
      <c r="C165" t="s">
        <v>33</v>
      </c>
      <c r="D165" t="s">
        <v>8</v>
      </c>
      <c r="E165">
        <v>10</v>
      </c>
    </row>
    <row r="166" spans="1:5">
      <c r="A166" t="s">
        <v>220</v>
      </c>
      <c r="B166" s="1">
        <v>45765</v>
      </c>
      <c r="C166" t="s">
        <v>37</v>
      </c>
      <c r="D166" t="s">
        <v>8</v>
      </c>
      <c r="E166">
        <v>1</v>
      </c>
    </row>
    <row r="167" spans="1:5">
      <c r="A167" t="s">
        <v>221</v>
      </c>
      <c r="B167" s="1">
        <v>45765</v>
      </c>
      <c r="C167" t="s">
        <v>37</v>
      </c>
      <c r="D167" t="s">
        <v>8</v>
      </c>
      <c r="E167">
        <v>9</v>
      </c>
    </row>
    <row r="168" spans="1:5">
      <c r="A168" t="s">
        <v>222</v>
      </c>
      <c r="B168" s="1">
        <v>45766</v>
      </c>
      <c r="C168" t="s">
        <v>49</v>
      </c>
      <c r="D168" t="s">
        <v>14</v>
      </c>
      <c r="E168">
        <v>6</v>
      </c>
    </row>
    <row r="169" spans="1:5">
      <c r="A169" t="s">
        <v>223</v>
      </c>
      <c r="B169" s="1">
        <v>45769</v>
      </c>
      <c r="C169" t="s">
        <v>49</v>
      </c>
      <c r="D169" t="s">
        <v>26</v>
      </c>
      <c r="E169">
        <v>3</v>
      </c>
    </row>
    <row r="170" spans="1:5">
      <c r="A170" t="s">
        <v>224</v>
      </c>
      <c r="B170" s="1">
        <v>45769</v>
      </c>
      <c r="C170" t="s">
        <v>33</v>
      </c>
      <c r="D170" t="s">
        <v>12</v>
      </c>
      <c r="E170">
        <v>6</v>
      </c>
    </row>
    <row r="171" spans="1:5">
      <c r="A171" t="s">
        <v>225</v>
      </c>
      <c r="B171" s="1">
        <v>45770</v>
      </c>
      <c r="C171" t="s">
        <v>33</v>
      </c>
      <c r="D171" t="s">
        <v>26</v>
      </c>
      <c r="E171">
        <v>9</v>
      </c>
    </row>
    <row r="172" spans="1:5">
      <c r="A172" t="s">
        <v>226</v>
      </c>
      <c r="B172" s="1">
        <v>45770</v>
      </c>
      <c r="C172" t="s">
        <v>49</v>
      </c>
      <c r="D172" t="s">
        <v>17</v>
      </c>
      <c r="E172">
        <v>9</v>
      </c>
    </row>
    <row r="173" spans="1:5">
      <c r="A173" t="s">
        <v>227</v>
      </c>
      <c r="B173" s="1">
        <v>45770</v>
      </c>
      <c r="C173" t="s">
        <v>33</v>
      </c>
      <c r="D173" t="s">
        <v>19</v>
      </c>
      <c r="E173">
        <v>5</v>
      </c>
    </row>
    <row r="174" spans="1:5">
      <c r="A174" t="s">
        <v>228</v>
      </c>
      <c r="B174" s="1">
        <v>45770</v>
      </c>
      <c r="C174" t="s">
        <v>41</v>
      </c>
      <c r="D174" t="s">
        <v>19</v>
      </c>
      <c r="E174">
        <v>7</v>
      </c>
    </row>
    <row r="175" spans="1:5">
      <c r="A175" t="s">
        <v>229</v>
      </c>
      <c r="B175" s="1">
        <v>45770</v>
      </c>
      <c r="C175" t="s">
        <v>45</v>
      </c>
      <c r="D175" t="s">
        <v>21</v>
      </c>
      <c r="E175">
        <v>1</v>
      </c>
    </row>
    <row r="176" spans="1:5">
      <c r="A176" t="s">
        <v>230</v>
      </c>
      <c r="B176" s="1">
        <v>45771</v>
      </c>
      <c r="C176" t="s">
        <v>41</v>
      </c>
      <c r="D176" t="s">
        <v>24</v>
      </c>
      <c r="E176">
        <v>6</v>
      </c>
    </row>
    <row r="177" spans="1:5">
      <c r="A177" t="s">
        <v>231</v>
      </c>
      <c r="B177" s="1">
        <v>45771</v>
      </c>
      <c r="C177" t="s">
        <v>37</v>
      </c>
      <c r="D177" t="s">
        <v>17</v>
      </c>
      <c r="E177">
        <v>7</v>
      </c>
    </row>
    <row r="178" spans="1:5">
      <c r="A178" t="s">
        <v>232</v>
      </c>
      <c r="B178" s="1">
        <v>45772</v>
      </c>
      <c r="C178" t="s">
        <v>37</v>
      </c>
      <c r="D178" t="s">
        <v>26</v>
      </c>
      <c r="E178">
        <v>9</v>
      </c>
    </row>
    <row r="179" spans="1:5">
      <c r="A179" t="s">
        <v>233</v>
      </c>
      <c r="B179" s="1">
        <v>45773</v>
      </c>
      <c r="C179" t="s">
        <v>45</v>
      </c>
      <c r="D179" t="s">
        <v>17</v>
      </c>
      <c r="E179">
        <v>5</v>
      </c>
    </row>
    <row r="180" spans="1:5">
      <c r="A180" t="s">
        <v>234</v>
      </c>
      <c r="B180" s="1">
        <v>45773</v>
      </c>
      <c r="C180" t="s">
        <v>49</v>
      </c>
      <c r="D180" t="s">
        <v>5</v>
      </c>
      <c r="E180">
        <v>8</v>
      </c>
    </row>
    <row r="181" spans="1:5">
      <c r="A181" t="s">
        <v>235</v>
      </c>
      <c r="B181" s="1">
        <v>45773</v>
      </c>
      <c r="C181" t="s">
        <v>33</v>
      </c>
      <c r="D181" t="s">
        <v>12</v>
      </c>
      <c r="E181">
        <v>4</v>
      </c>
    </row>
    <row r="182" spans="1:5">
      <c r="A182" t="s">
        <v>236</v>
      </c>
      <c r="B182" s="1">
        <v>45774</v>
      </c>
      <c r="C182" t="s">
        <v>49</v>
      </c>
      <c r="D182" t="s">
        <v>24</v>
      </c>
      <c r="E182">
        <v>4</v>
      </c>
    </row>
    <row r="183" spans="1:5">
      <c r="A183" t="s">
        <v>237</v>
      </c>
      <c r="B183" s="1">
        <v>45775</v>
      </c>
      <c r="C183" t="s">
        <v>41</v>
      </c>
      <c r="D183" t="s">
        <v>14</v>
      </c>
      <c r="E183">
        <v>10</v>
      </c>
    </row>
    <row r="184" spans="1:5">
      <c r="A184" t="s">
        <v>238</v>
      </c>
      <c r="B184" s="1">
        <v>45777</v>
      </c>
      <c r="C184" t="s">
        <v>41</v>
      </c>
      <c r="D184" t="s">
        <v>8</v>
      </c>
      <c r="E184">
        <v>9</v>
      </c>
    </row>
    <row r="185" spans="1:5">
      <c r="A185" t="s">
        <v>239</v>
      </c>
      <c r="B185" s="1">
        <v>45777</v>
      </c>
      <c r="C185" t="s">
        <v>33</v>
      </c>
      <c r="D185" t="s">
        <v>21</v>
      </c>
      <c r="E185">
        <v>9</v>
      </c>
    </row>
    <row r="186" spans="1:5">
      <c r="A186" t="s">
        <v>240</v>
      </c>
      <c r="B186" s="1">
        <v>45778</v>
      </c>
      <c r="C186" t="s">
        <v>41</v>
      </c>
      <c r="D186" t="s">
        <v>21</v>
      </c>
      <c r="E186">
        <v>3</v>
      </c>
    </row>
    <row r="187" spans="1:5">
      <c r="A187" t="s">
        <v>241</v>
      </c>
      <c r="B187" s="1">
        <v>45779</v>
      </c>
      <c r="C187" t="s">
        <v>45</v>
      </c>
      <c r="D187" t="s">
        <v>26</v>
      </c>
      <c r="E187">
        <v>7</v>
      </c>
    </row>
    <row r="188" spans="1:5">
      <c r="A188" t="s">
        <v>242</v>
      </c>
      <c r="B188" s="1">
        <v>45779</v>
      </c>
      <c r="C188" t="s">
        <v>45</v>
      </c>
      <c r="D188" t="s">
        <v>10</v>
      </c>
      <c r="E188">
        <v>6</v>
      </c>
    </row>
    <row r="189" spans="1:5">
      <c r="A189" t="s">
        <v>243</v>
      </c>
      <c r="B189" s="1">
        <v>45779</v>
      </c>
      <c r="C189" t="s">
        <v>33</v>
      </c>
      <c r="D189" t="s">
        <v>24</v>
      </c>
      <c r="E189">
        <v>10</v>
      </c>
    </row>
    <row r="190" spans="1:5">
      <c r="A190" t="s">
        <v>244</v>
      </c>
      <c r="B190" s="1">
        <v>45780</v>
      </c>
      <c r="C190" t="s">
        <v>45</v>
      </c>
      <c r="D190" t="s">
        <v>17</v>
      </c>
      <c r="E190">
        <v>1</v>
      </c>
    </row>
    <row r="191" spans="1:5">
      <c r="A191" t="s">
        <v>245</v>
      </c>
      <c r="B191" s="1">
        <v>45781</v>
      </c>
      <c r="C191" t="s">
        <v>37</v>
      </c>
      <c r="D191" t="s">
        <v>14</v>
      </c>
      <c r="E191">
        <v>1</v>
      </c>
    </row>
    <row r="192" spans="1:5">
      <c r="A192" t="s">
        <v>246</v>
      </c>
      <c r="B192" s="1">
        <v>45781</v>
      </c>
      <c r="C192" t="s">
        <v>49</v>
      </c>
      <c r="D192" t="s">
        <v>24</v>
      </c>
      <c r="E192">
        <v>9</v>
      </c>
    </row>
    <row r="193" spans="1:5">
      <c r="A193" t="s">
        <v>247</v>
      </c>
      <c r="B193" s="1">
        <v>45782</v>
      </c>
      <c r="C193" t="s">
        <v>45</v>
      </c>
      <c r="D193" t="s">
        <v>21</v>
      </c>
      <c r="E193">
        <v>7</v>
      </c>
    </row>
    <row r="194" spans="1:5">
      <c r="A194" t="s">
        <v>248</v>
      </c>
      <c r="B194" s="1">
        <v>45783</v>
      </c>
      <c r="C194" t="s">
        <v>49</v>
      </c>
      <c r="D194" t="s">
        <v>17</v>
      </c>
      <c r="E194">
        <v>2</v>
      </c>
    </row>
    <row r="195" spans="1:5">
      <c r="A195" t="s">
        <v>249</v>
      </c>
      <c r="B195" s="1">
        <v>45783</v>
      </c>
      <c r="C195" t="s">
        <v>37</v>
      </c>
      <c r="D195" t="s">
        <v>8</v>
      </c>
      <c r="E195">
        <v>9</v>
      </c>
    </row>
    <row r="196" spans="1:5">
      <c r="A196" t="s">
        <v>250</v>
      </c>
      <c r="B196" s="1">
        <v>45784</v>
      </c>
      <c r="C196" t="s">
        <v>37</v>
      </c>
      <c r="D196" t="s">
        <v>24</v>
      </c>
      <c r="E196">
        <v>7</v>
      </c>
    </row>
    <row r="197" spans="1:5">
      <c r="A197" t="s">
        <v>251</v>
      </c>
      <c r="B197" s="1">
        <v>45784</v>
      </c>
      <c r="C197" t="s">
        <v>41</v>
      </c>
      <c r="D197" t="s">
        <v>10</v>
      </c>
      <c r="E197">
        <v>6</v>
      </c>
    </row>
    <row r="198" spans="1:5">
      <c r="A198" t="s">
        <v>252</v>
      </c>
      <c r="B198" s="1">
        <v>45785</v>
      </c>
      <c r="C198" t="s">
        <v>45</v>
      </c>
      <c r="D198" t="s">
        <v>8</v>
      </c>
      <c r="E198">
        <v>5</v>
      </c>
    </row>
    <row r="199" spans="1:5">
      <c r="A199" t="s">
        <v>253</v>
      </c>
      <c r="B199" s="1">
        <v>45785</v>
      </c>
      <c r="C199" t="s">
        <v>41</v>
      </c>
      <c r="D199" t="s">
        <v>24</v>
      </c>
      <c r="E199">
        <v>1</v>
      </c>
    </row>
    <row r="200" spans="1:5">
      <c r="A200" t="s">
        <v>254</v>
      </c>
      <c r="B200" s="1">
        <v>45785</v>
      </c>
      <c r="C200" t="s">
        <v>41</v>
      </c>
      <c r="D200" t="s">
        <v>21</v>
      </c>
      <c r="E200">
        <v>1</v>
      </c>
    </row>
    <row r="201" spans="1:5">
      <c r="A201" t="s">
        <v>255</v>
      </c>
      <c r="B201" s="1">
        <v>45785</v>
      </c>
      <c r="C201" t="s">
        <v>45</v>
      </c>
      <c r="D201" t="s">
        <v>26</v>
      </c>
      <c r="E201">
        <v>9</v>
      </c>
    </row>
    <row r="202" spans="1:5">
      <c r="A202" t="s">
        <v>256</v>
      </c>
      <c r="B202" s="1">
        <v>45786</v>
      </c>
      <c r="C202" t="s">
        <v>49</v>
      </c>
      <c r="D202" t="s">
        <v>19</v>
      </c>
      <c r="E202">
        <v>9</v>
      </c>
    </row>
    <row r="203" spans="1:5">
      <c r="A203" t="s">
        <v>257</v>
      </c>
      <c r="B203" s="1">
        <v>45786</v>
      </c>
      <c r="C203" t="s">
        <v>41</v>
      </c>
      <c r="D203" t="s">
        <v>21</v>
      </c>
      <c r="E203">
        <v>5</v>
      </c>
    </row>
    <row r="204" spans="1:5">
      <c r="A204" t="s">
        <v>258</v>
      </c>
      <c r="B204" s="1">
        <v>45786</v>
      </c>
      <c r="C204" t="s">
        <v>41</v>
      </c>
      <c r="D204" t="s">
        <v>5</v>
      </c>
      <c r="E204">
        <v>8</v>
      </c>
    </row>
    <row r="205" spans="1:5">
      <c r="A205" t="s">
        <v>259</v>
      </c>
      <c r="B205" s="1">
        <v>45787</v>
      </c>
      <c r="C205" t="s">
        <v>49</v>
      </c>
      <c r="D205" t="s">
        <v>26</v>
      </c>
      <c r="E205">
        <v>4</v>
      </c>
    </row>
    <row r="206" spans="1:5">
      <c r="A206" t="s">
        <v>260</v>
      </c>
      <c r="B206" s="1">
        <v>45787</v>
      </c>
      <c r="C206" t="s">
        <v>33</v>
      </c>
      <c r="D206" t="s">
        <v>8</v>
      </c>
      <c r="E206">
        <v>3</v>
      </c>
    </row>
    <row r="207" spans="1:5">
      <c r="A207" t="s">
        <v>261</v>
      </c>
      <c r="B207" s="1">
        <v>45788</v>
      </c>
      <c r="C207" t="s">
        <v>33</v>
      </c>
      <c r="D207" t="s">
        <v>5</v>
      </c>
      <c r="E207">
        <v>9</v>
      </c>
    </row>
    <row r="208" spans="1:5">
      <c r="A208" t="s">
        <v>262</v>
      </c>
      <c r="B208" s="1">
        <v>45788</v>
      </c>
      <c r="C208" t="s">
        <v>33</v>
      </c>
      <c r="D208" t="s">
        <v>17</v>
      </c>
      <c r="E208">
        <v>5</v>
      </c>
    </row>
    <row r="209" spans="1:5">
      <c r="A209" t="s">
        <v>263</v>
      </c>
      <c r="B209" s="1">
        <v>45788</v>
      </c>
      <c r="C209" t="s">
        <v>49</v>
      </c>
      <c r="D209" t="s">
        <v>19</v>
      </c>
      <c r="E209">
        <v>5</v>
      </c>
    </row>
    <row r="210" spans="1:5">
      <c r="A210" t="s">
        <v>264</v>
      </c>
      <c r="B210" s="1">
        <v>45788</v>
      </c>
      <c r="C210" t="s">
        <v>33</v>
      </c>
      <c r="D210" t="s">
        <v>26</v>
      </c>
      <c r="E210">
        <v>9</v>
      </c>
    </row>
    <row r="211" spans="1:5">
      <c r="A211" t="s">
        <v>265</v>
      </c>
      <c r="B211" s="1">
        <v>45790</v>
      </c>
      <c r="C211" t="s">
        <v>37</v>
      </c>
      <c r="D211" t="s">
        <v>26</v>
      </c>
      <c r="E211">
        <v>5</v>
      </c>
    </row>
    <row r="212" spans="1:5">
      <c r="A212" t="s">
        <v>266</v>
      </c>
      <c r="B212" s="1">
        <v>45791</v>
      </c>
      <c r="C212" t="s">
        <v>49</v>
      </c>
      <c r="D212" t="s">
        <v>26</v>
      </c>
      <c r="E212">
        <v>9</v>
      </c>
    </row>
    <row r="213" spans="1:5">
      <c r="A213" t="s">
        <v>267</v>
      </c>
      <c r="B213" s="1">
        <v>45792</v>
      </c>
      <c r="C213" t="s">
        <v>41</v>
      </c>
      <c r="D213" t="s">
        <v>12</v>
      </c>
      <c r="E213">
        <v>3</v>
      </c>
    </row>
    <row r="214" spans="1:5">
      <c r="A214" t="s">
        <v>268</v>
      </c>
      <c r="B214" s="1">
        <v>45792</v>
      </c>
      <c r="C214" t="s">
        <v>37</v>
      </c>
      <c r="D214" t="s">
        <v>10</v>
      </c>
      <c r="E214">
        <v>1</v>
      </c>
    </row>
    <row r="215" spans="1:5">
      <c r="A215" t="s">
        <v>269</v>
      </c>
      <c r="B215" s="1">
        <v>45792</v>
      </c>
      <c r="C215" t="s">
        <v>37</v>
      </c>
      <c r="D215" t="s">
        <v>10</v>
      </c>
      <c r="E215">
        <v>8</v>
      </c>
    </row>
    <row r="216" spans="1:5">
      <c r="A216" t="s">
        <v>270</v>
      </c>
      <c r="B216" s="1">
        <v>45793</v>
      </c>
      <c r="C216" t="s">
        <v>45</v>
      </c>
      <c r="D216" t="s">
        <v>21</v>
      </c>
      <c r="E216">
        <v>6</v>
      </c>
    </row>
    <row r="217" spans="1:5">
      <c r="A217" t="s">
        <v>271</v>
      </c>
      <c r="B217" s="1">
        <v>45794</v>
      </c>
      <c r="C217" t="s">
        <v>49</v>
      </c>
      <c r="D217" t="s">
        <v>19</v>
      </c>
      <c r="E217">
        <v>7</v>
      </c>
    </row>
    <row r="218" spans="1:5">
      <c r="A218" t="s">
        <v>272</v>
      </c>
      <c r="B218" s="1">
        <v>45796</v>
      </c>
      <c r="C218" t="s">
        <v>33</v>
      </c>
      <c r="D218" t="s">
        <v>21</v>
      </c>
      <c r="E218">
        <v>6</v>
      </c>
    </row>
    <row r="219" spans="1:5">
      <c r="A219" t="s">
        <v>273</v>
      </c>
      <c r="B219" s="1">
        <v>45797</v>
      </c>
      <c r="C219" t="s">
        <v>41</v>
      </c>
      <c r="D219" t="s">
        <v>19</v>
      </c>
      <c r="E219">
        <v>4</v>
      </c>
    </row>
    <row r="220" spans="1:5">
      <c r="A220" t="s">
        <v>274</v>
      </c>
      <c r="B220" s="1">
        <v>45799</v>
      </c>
      <c r="C220" t="s">
        <v>45</v>
      </c>
      <c r="D220" t="s">
        <v>12</v>
      </c>
      <c r="E220">
        <v>8</v>
      </c>
    </row>
    <row r="221" spans="1:5">
      <c r="A221" t="s">
        <v>275</v>
      </c>
      <c r="B221" s="1">
        <v>45800</v>
      </c>
      <c r="C221" t="s">
        <v>37</v>
      </c>
      <c r="D221" t="s">
        <v>5</v>
      </c>
      <c r="E221">
        <v>3</v>
      </c>
    </row>
    <row r="222" spans="1:5">
      <c r="A222" t="s">
        <v>276</v>
      </c>
      <c r="B222" s="1">
        <v>45800</v>
      </c>
      <c r="C222" t="s">
        <v>41</v>
      </c>
      <c r="D222" t="s">
        <v>26</v>
      </c>
      <c r="E222">
        <v>8</v>
      </c>
    </row>
    <row r="223" spans="1:5">
      <c r="A223" t="s">
        <v>277</v>
      </c>
      <c r="B223" s="1">
        <v>45801</v>
      </c>
      <c r="C223" t="s">
        <v>37</v>
      </c>
      <c r="D223" t="s">
        <v>5</v>
      </c>
      <c r="E223">
        <v>4</v>
      </c>
    </row>
    <row r="224" spans="1:5">
      <c r="A224" t="s">
        <v>278</v>
      </c>
      <c r="B224" s="1">
        <v>45801</v>
      </c>
      <c r="C224" t="s">
        <v>49</v>
      </c>
      <c r="D224" t="s">
        <v>21</v>
      </c>
      <c r="E224">
        <v>10</v>
      </c>
    </row>
    <row r="225" spans="1:5">
      <c r="A225" t="s">
        <v>279</v>
      </c>
      <c r="B225" s="1">
        <v>45801</v>
      </c>
      <c r="C225" t="s">
        <v>49</v>
      </c>
      <c r="D225" t="s">
        <v>12</v>
      </c>
      <c r="E225">
        <v>2</v>
      </c>
    </row>
    <row r="226" spans="1:5">
      <c r="A226" t="s">
        <v>280</v>
      </c>
      <c r="B226" s="1">
        <v>45801</v>
      </c>
      <c r="C226" t="s">
        <v>41</v>
      </c>
      <c r="D226" t="s">
        <v>10</v>
      </c>
      <c r="E226">
        <v>4</v>
      </c>
    </row>
    <row r="227" spans="1:5">
      <c r="A227" t="s">
        <v>281</v>
      </c>
      <c r="B227" s="1">
        <v>45801</v>
      </c>
      <c r="C227" t="s">
        <v>45</v>
      </c>
      <c r="D227" t="s">
        <v>5</v>
      </c>
      <c r="E227">
        <v>7</v>
      </c>
    </row>
    <row r="228" spans="1:5">
      <c r="A228" t="s">
        <v>282</v>
      </c>
      <c r="B228" s="1">
        <v>45801</v>
      </c>
      <c r="C228" t="s">
        <v>37</v>
      </c>
      <c r="D228" t="s">
        <v>12</v>
      </c>
      <c r="E228">
        <v>4</v>
      </c>
    </row>
    <row r="229" spans="1:5">
      <c r="A229" t="s">
        <v>283</v>
      </c>
      <c r="B229" s="1">
        <v>45802</v>
      </c>
      <c r="C229" t="s">
        <v>37</v>
      </c>
      <c r="D229" t="s">
        <v>5</v>
      </c>
      <c r="E229">
        <v>10</v>
      </c>
    </row>
    <row r="230" spans="1:5">
      <c r="A230" t="s">
        <v>284</v>
      </c>
      <c r="B230" s="1">
        <v>45803</v>
      </c>
      <c r="C230" t="s">
        <v>33</v>
      </c>
      <c r="D230" t="s">
        <v>8</v>
      </c>
      <c r="E230">
        <v>6</v>
      </c>
    </row>
    <row r="231" spans="1:5">
      <c r="A231" t="s">
        <v>285</v>
      </c>
      <c r="B231" s="1">
        <v>45804</v>
      </c>
      <c r="C231" t="s">
        <v>37</v>
      </c>
      <c r="D231" t="s">
        <v>26</v>
      </c>
      <c r="E231">
        <v>2</v>
      </c>
    </row>
    <row r="232" spans="1:5">
      <c r="A232" t="s">
        <v>286</v>
      </c>
      <c r="B232" s="1">
        <v>45804</v>
      </c>
      <c r="C232" t="s">
        <v>37</v>
      </c>
      <c r="D232" t="s">
        <v>17</v>
      </c>
      <c r="E232">
        <v>10</v>
      </c>
    </row>
    <row r="233" spans="1:5">
      <c r="A233" t="s">
        <v>287</v>
      </c>
      <c r="B233" s="1">
        <v>45804</v>
      </c>
      <c r="C233" t="s">
        <v>41</v>
      </c>
      <c r="D233" t="s">
        <v>21</v>
      </c>
      <c r="E233">
        <v>2</v>
      </c>
    </row>
    <row r="234" spans="1:5">
      <c r="A234" t="s">
        <v>288</v>
      </c>
      <c r="B234" s="1">
        <v>45804</v>
      </c>
      <c r="C234" t="s">
        <v>49</v>
      </c>
      <c r="D234" t="s">
        <v>12</v>
      </c>
      <c r="E234">
        <v>3</v>
      </c>
    </row>
    <row r="235" spans="1:5">
      <c r="A235" t="s">
        <v>289</v>
      </c>
      <c r="B235" s="1">
        <v>45804</v>
      </c>
      <c r="C235" t="s">
        <v>37</v>
      </c>
      <c r="D235" t="s">
        <v>24</v>
      </c>
      <c r="E235">
        <v>7</v>
      </c>
    </row>
    <row r="236" spans="1:5">
      <c r="A236" t="s">
        <v>290</v>
      </c>
      <c r="B236" s="1">
        <v>45805</v>
      </c>
      <c r="C236" t="s">
        <v>33</v>
      </c>
      <c r="D236" t="s">
        <v>21</v>
      </c>
      <c r="E236">
        <v>3</v>
      </c>
    </row>
    <row r="237" spans="1:5">
      <c r="A237" t="s">
        <v>291</v>
      </c>
      <c r="B237" s="1">
        <v>45805</v>
      </c>
      <c r="C237" t="s">
        <v>45</v>
      </c>
      <c r="D237" t="s">
        <v>10</v>
      </c>
      <c r="E237">
        <v>6</v>
      </c>
    </row>
    <row r="238" spans="1:5">
      <c r="A238" t="s">
        <v>292</v>
      </c>
      <c r="B238" s="1">
        <v>45807</v>
      </c>
      <c r="C238" t="s">
        <v>37</v>
      </c>
      <c r="D238" t="s">
        <v>14</v>
      </c>
      <c r="E238">
        <v>6</v>
      </c>
    </row>
    <row r="239" spans="1:5">
      <c r="A239" t="s">
        <v>293</v>
      </c>
      <c r="B239" s="1">
        <v>45807</v>
      </c>
      <c r="C239" t="s">
        <v>33</v>
      </c>
      <c r="D239" t="s">
        <v>12</v>
      </c>
      <c r="E239">
        <v>2</v>
      </c>
    </row>
    <row r="240" spans="1:5">
      <c r="A240" t="s">
        <v>294</v>
      </c>
      <c r="B240" s="1">
        <v>45808</v>
      </c>
      <c r="C240" t="s">
        <v>41</v>
      </c>
      <c r="D240" t="s">
        <v>19</v>
      </c>
      <c r="E240">
        <v>2</v>
      </c>
    </row>
    <row r="241" spans="1:5">
      <c r="A241" t="s">
        <v>295</v>
      </c>
      <c r="B241" s="1">
        <v>45808</v>
      </c>
      <c r="C241" t="s">
        <v>45</v>
      </c>
      <c r="D241" t="s">
        <v>5</v>
      </c>
      <c r="E241">
        <v>8</v>
      </c>
    </row>
    <row r="242" spans="1:5">
      <c r="A242" t="s">
        <v>296</v>
      </c>
      <c r="B242" s="1">
        <v>45808</v>
      </c>
      <c r="C242" t="s">
        <v>33</v>
      </c>
      <c r="D242" t="s">
        <v>14</v>
      </c>
      <c r="E242">
        <v>7</v>
      </c>
    </row>
    <row r="243" spans="1:5">
      <c r="A243" t="s">
        <v>297</v>
      </c>
      <c r="B243" s="1">
        <v>45808</v>
      </c>
      <c r="C243" t="s">
        <v>49</v>
      </c>
      <c r="D243" t="s">
        <v>12</v>
      </c>
      <c r="E243">
        <v>5</v>
      </c>
    </row>
    <row r="244" spans="1:5">
      <c r="A244" t="s">
        <v>298</v>
      </c>
      <c r="B244" s="1">
        <v>45809</v>
      </c>
      <c r="C244" t="s">
        <v>45</v>
      </c>
      <c r="D244" t="s">
        <v>26</v>
      </c>
      <c r="E244">
        <v>5</v>
      </c>
    </row>
    <row r="245" spans="1:5">
      <c r="A245" t="s">
        <v>299</v>
      </c>
      <c r="B245" s="1">
        <v>45809</v>
      </c>
      <c r="C245" t="s">
        <v>45</v>
      </c>
      <c r="D245" t="s">
        <v>26</v>
      </c>
      <c r="E245">
        <v>4</v>
      </c>
    </row>
    <row r="246" spans="1:5">
      <c r="A246" t="s">
        <v>300</v>
      </c>
      <c r="B246" s="1">
        <v>45809</v>
      </c>
      <c r="C246" t="s">
        <v>45</v>
      </c>
      <c r="D246" t="s">
        <v>5</v>
      </c>
      <c r="E246">
        <v>9</v>
      </c>
    </row>
    <row r="247" spans="1:5">
      <c r="A247" t="s">
        <v>301</v>
      </c>
      <c r="B247" s="1">
        <v>45809</v>
      </c>
      <c r="C247" t="s">
        <v>45</v>
      </c>
      <c r="D247" t="s">
        <v>19</v>
      </c>
      <c r="E247">
        <v>8</v>
      </c>
    </row>
    <row r="248" spans="1:5">
      <c r="A248" t="s">
        <v>302</v>
      </c>
      <c r="B248" s="1">
        <v>45809</v>
      </c>
      <c r="C248" t="s">
        <v>33</v>
      </c>
      <c r="D248" t="s">
        <v>14</v>
      </c>
      <c r="E248">
        <v>3</v>
      </c>
    </row>
    <row r="249" spans="1:5">
      <c r="A249" t="s">
        <v>303</v>
      </c>
      <c r="B249" s="1">
        <v>45810</v>
      </c>
      <c r="C249" t="s">
        <v>37</v>
      </c>
      <c r="D249" t="s">
        <v>21</v>
      </c>
      <c r="E249">
        <v>4</v>
      </c>
    </row>
    <row r="250" spans="1:5">
      <c r="A250" t="s">
        <v>304</v>
      </c>
      <c r="B250" s="1">
        <v>45810</v>
      </c>
      <c r="C250" t="s">
        <v>41</v>
      </c>
      <c r="D250" t="s">
        <v>10</v>
      </c>
      <c r="E250">
        <v>6</v>
      </c>
    </row>
    <row r="251" spans="1:5">
      <c r="A251" t="s">
        <v>305</v>
      </c>
      <c r="B251" s="1">
        <v>45811</v>
      </c>
      <c r="C251" t="s">
        <v>37</v>
      </c>
      <c r="D251" t="s">
        <v>12</v>
      </c>
      <c r="E251">
        <v>2</v>
      </c>
    </row>
    <row r="252" spans="1:5">
      <c r="A252" t="s">
        <v>306</v>
      </c>
      <c r="B252" s="1">
        <v>45812</v>
      </c>
      <c r="C252" t="s">
        <v>33</v>
      </c>
      <c r="D252" t="s">
        <v>17</v>
      </c>
      <c r="E252">
        <v>9</v>
      </c>
    </row>
    <row r="253" spans="1:5">
      <c r="A253" t="s">
        <v>307</v>
      </c>
      <c r="B253" s="1">
        <v>45814</v>
      </c>
      <c r="C253" t="s">
        <v>33</v>
      </c>
      <c r="D253" t="s">
        <v>10</v>
      </c>
      <c r="E253">
        <v>10</v>
      </c>
    </row>
    <row r="254" spans="1:5">
      <c r="A254" t="s">
        <v>308</v>
      </c>
      <c r="B254" s="1">
        <v>45815</v>
      </c>
      <c r="C254" t="s">
        <v>37</v>
      </c>
      <c r="D254" t="s">
        <v>5</v>
      </c>
      <c r="E254">
        <v>7</v>
      </c>
    </row>
    <row r="255" spans="1:5">
      <c r="A255" t="s">
        <v>309</v>
      </c>
      <c r="B255" s="1">
        <v>45815</v>
      </c>
      <c r="C255" t="s">
        <v>33</v>
      </c>
      <c r="D255" t="s">
        <v>21</v>
      </c>
      <c r="E255">
        <v>5</v>
      </c>
    </row>
    <row r="256" spans="1:5">
      <c r="A256" t="s">
        <v>310</v>
      </c>
      <c r="B256" s="1">
        <v>45815</v>
      </c>
      <c r="C256" t="s">
        <v>41</v>
      </c>
      <c r="D256" t="s">
        <v>19</v>
      </c>
      <c r="E256">
        <v>10</v>
      </c>
    </row>
    <row r="257" spans="1:5">
      <c r="A257" t="s">
        <v>311</v>
      </c>
      <c r="B257" s="1">
        <v>45817</v>
      </c>
      <c r="C257" t="s">
        <v>45</v>
      </c>
      <c r="D257" t="s">
        <v>24</v>
      </c>
      <c r="E257">
        <v>8</v>
      </c>
    </row>
    <row r="258" spans="1:5">
      <c r="A258" t="s">
        <v>312</v>
      </c>
      <c r="B258" s="1">
        <v>45817</v>
      </c>
      <c r="C258" t="s">
        <v>37</v>
      </c>
      <c r="D258" t="s">
        <v>17</v>
      </c>
      <c r="E258">
        <v>5</v>
      </c>
    </row>
    <row r="259" spans="1:5">
      <c r="A259" t="s">
        <v>313</v>
      </c>
      <c r="B259" s="1">
        <v>45817</v>
      </c>
      <c r="C259" t="s">
        <v>37</v>
      </c>
      <c r="D259" t="s">
        <v>5</v>
      </c>
      <c r="E259">
        <v>10</v>
      </c>
    </row>
    <row r="260" spans="1:5">
      <c r="A260" t="s">
        <v>314</v>
      </c>
      <c r="B260" s="1">
        <v>45817</v>
      </c>
      <c r="C260" t="s">
        <v>33</v>
      </c>
      <c r="D260" t="s">
        <v>10</v>
      </c>
      <c r="E260">
        <v>2</v>
      </c>
    </row>
    <row r="261" spans="1:5">
      <c r="A261" t="s">
        <v>315</v>
      </c>
      <c r="B261" s="1">
        <v>45817</v>
      </c>
      <c r="C261" t="s">
        <v>37</v>
      </c>
      <c r="D261" t="s">
        <v>10</v>
      </c>
      <c r="E261">
        <v>8</v>
      </c>
    </row>
    <row r="262" spans="1:5">
      <c r="A262" t="s">
        <v>316</v>
      </c>
      <c r="B262" s="1">
        <v>45818</v>
      </c>
      <c r="C262" t="s">
        <v>45</v>
      </c>
      <c r="D262" t="s">
        <v>21</v>
      </c>
      <c r="E262">
        <v>5</v>
      </c>
    </row>
    <row r="263" spans="1:5">
      <c r="A263" t="s">
        <v>317</v>
      </c>
      <c r="B263" s="1">
        <v>45818</v>
      </c>
      <c r="C263" t="s">
        <v>49</v>
      </c>
      <c r="D263" t="s">
        <v>14</v>
      </c>
      <c r="E263">
        <v>2</v>
      </c>
    </row>
    <row r="264" spans="1:5">
      <c r="A264" t="s">
        <v>318</v>
      </c>
      <c r="B264" s="1">
        <v>45818</v>
      </c>
      <c r="C264" t="s">
        <v>45</v>
      </c>
      <c r="D264" t="s">
        <v>17</v>
      </c>
      <c r="E264">
        <v>8</v>
      </c>
    </row>
    <row r="265" spans="1:5">
      <c r="A265" t="s">
        <v>319</v>
      </c>
      <c r="B265" s="1">
        <v>45818</v>
      </c>
      <c r="C265" t="s">
        <v>45</v>
      </c>
      <c r="D265" t="s">
        <v>12</v>
      </c>
      <c r="E265">
        <v>8</v>
      </c>
    </row>
    <row r="266" spans="1:5">
      <c r="A266" t="s">
        <v>320</v>
      </c>
      <c r="B266" s="1">
        <v>45819</v>
      </c>
      <c r="C266" t="s">
        <v>49</v>
      </c>
      <c r="D266" t="s">
        <v>17</v>
      </c>
      <c r="E266">
        <v>5</v>
      </c>
    </row>
    <row r="267" spans="1:5">
      <c r="A267" t="s">
        <v>321</v>
      </c>
      <c r="B267" s="1">
        <v>45820</v>
      </c>
      <c r="C267" t="s">
        <v>37</v>
      </c>
      <c r="D267" t="s">
        <v>24</v>
      </c>
      <c r="E267">
        <v>7</v>
      </c>
    </row>
    <row r="268" spans="1:5">
      <c r="A268" t="s">
        <v>322</v>
      </c>
      <c r="B268" s="1">
        <v>45820</v>
      </c>
      <c r="C268" t="s">
        <v>33</v>
      </c>
      <c r="D268" t="s">
        <v>8</v>
      </c>
      <c r="E268">
        <v>10</v>
      </c>
    </row>
    <row r="269" spans="1:5">
      <c r="A269" t="s">
        <v>323</v>
      </c>
      <c r="B269" s="1">
        <v>45820</v>
      </c>
      <c r="C269" t="s">
        <v>45</v>
      </c>
      <c r="D269" t="s">
        <v>21</v>
      </c>
      <c r="E269">
        <v>2</v>
      </c>
    </row>
    <row r="270" spans="1:5">
      <c r="A270" t="s">
        <v>324</v>
      </c>
      <c r="B270" s="1">
        <v>45820</v>
      </c>
      <c r="C270" t="s">
        <v>41</v>
      </c>
      <c r="D270" t="s">
        <v>21</v>
      </c>
      <c r="E270">
        <v>10</v>
      </c>
    </row>
    <row r="271" spans="1:5">
      <c r="A271" t="s">
        <v>325</v>
      </c>
      <c r="B271" s="1">
        <v>45821</v>
      </c>
      <c r="C271" t="s">
        <v>45</v>
      </c>
      <c r="D271" t="s">
        <v>19</v>
      </c>
      <c r="E271">
        <v>3</v>
      </c>
    </row>
    <row r="272" spans="1:5">
      <c r="A272" t="s">
        <v>326</v>
      </c>
      <c r="B272" s="1">
        <v>45822</v>
      </c>
      <c r="C272" t="s">
        <v>41</v>
      </c>
      <c r="D272" t="s">
        <v>8</v>
      </c>
      <c r="E272">
        <v>1</v>
      </c>
    </row>
    <row r="273" spans="1:5">
      <c r="A273" t="s">
        <v>327</v>
      </c>
      <c r="B273" s="1">
        <v>45824</v>
      </c>
      <c r="C273" t="s">
        <v>33</v>
      </c>
      <c r="D273" t="s">
        <v>21</v>
      </c>
      <c r="E273">
        <v>2</v>
      </c>
    </row>
    <row r="274" spans="1:5">
      <c r="A274" t="s">
        <v>328</v>
      </c>
      <c r="B274" s="1">
        <v>45825</v>
      </c>
      <c r="C274" t="s">
        <v>37</v>
      </c>
      <c r="D274" t="s">
        <v>21</v>
      </c>
      <c r="E274">
        <v>7</v>
      </c>
    </row>
    <row r="275" spans="1:5">
      <c r="A275" t="s">
        <v>329</v>
      </c>
      <c r="B275" s="1">
        <v>45826</v>
      </c>
      <c r="C275" t="s">
        <v>49</v>
      </c>
      <c r="D275" t="s">
        <v>8</v>
      </c>
      <c r="E275">
        <v>8</v>
      </c>
    </row>
    <row r="276" spans="1:5">
      <c r="A276" t="s">
        <v>330</v>
      </c>
      <c r="B276" s="1">
        <v>45827</v>
      </c>
      <c r="C276" t="s">
        <v>45</v>
      </c>
      <c r="D276" t="s">
        <v>19</v>
      </c>
      <c r="E276">
        <v>9</v>
      </c>
    </row>
    <row r="277" spans="1:5">
      <c r="A277" t="s">
        <v>331</v>
      </c>
      <c r="B277" s="1">
        <v>45827</v>
      </c>
      <c r="C277" t="s">
        <v>37</v>
      </c>
      <c r="D277" t="s">
        <v>26</v>
      </c>
      <c r="E277">
        <v>8</v>
      </c>
    </row>
    <row r="278" spans="1:5">
      <c r="A278" t="s">
        <v>332</v>
      </c>
      <c r="B278" s="1">
        <v>45827</v>
      </c>
      <c r="C278" t="s">
        <v>41</v>
      </c>
      <c r="D278" t="s">
        <v>21</v>
      </c>
      <c r="E278">
        <v>5</v>
      </c>
    </row>
    <row r="279" spans="1:5">
      <c r="A279" t="s">
        <v>333</v>
      </c>
      <c r="B279" s="1">
        <v>45827</v>
      </c>
      <c r="C279" t="s">
        <v>41</v>
      </c>
      <c r="D279" t="s">
        <v>17</v>
      </c>
      <c r="E279">
        <v>10</v>
      </c>
    </row>
    <row r="280" spans="1:5">
      <c r="A280" t="s">
        <v>334</v>
      </c>
      <c r="B280" s="1">
        <v>45828</v>
      </c>
      <c r="C280" t="s">
        <v>37</v>
      </c>
      <c r="D280" t="s">
        <v>26</v>
      </c>
      <c r="E280">
        <v>8</v>
      </c>
    </row>
    <row r="281" spans="1:5">
      <c r="A281" t="s">
        <v>335</v>
      </c>
      <c r="B281" s="1">
        <v>45829</v>
      </c>
      <c r="C281" t="s">
        <v>41</v>
      </c>
      <c r="D281" t="s">
        <v>21</v>
      </c>
      <c r="E281">
        <v>6</v>
      </c>
    </row>
    <row r="282" spans="1:5">
      <c r="A282" t="s">
        <v>336</v>
      </c>
      <c r="B282" s="1">
        <v>45829</v>
      </c>
      <c r="C282" t="s">
        <v>33</v>
      </c>
      <c r="D282" t="s">
        <v>14</v>
      </c>
      <c r="E282">
        <v>9</v>
      </c>
    </row>
    <row r="283" spans="1:5">
      <c r="A283" t="s">
        <v>337</v>
      </c>
      <c r="B283" s="1">
        <v>45829</v>
      </c>
      <c r="C283" t="s">
        <v>49</v>
      </c>
      <c r="D283" t="s">
        <v>12</v>
      </c>
      <c r="E283">
        <v>2</v>
      </c>
    </row>
    <row r="284" spans="1:5">
      <c r="A284" t="s">
        <v>338</v>
      </c>
      <c r="B284" s="1">
        <v>45829</v>
      </c>
      <c r="C284" t="s">
        <v>45</v>
      </c>
      <c r="D284" t="s">
        <v>10</v>
      </c>
      <c r="E284">
        <v>3</v>
      </c>
    </row>
    <row r="285" spans="1:5">
      <c r="A285" t="s">
        <v>339</v>
      </c>
      <c r="B285" s="1">
        <v>45830</v>
      </c>
      <c r="C285" t="s">
        <v>41</v>
      </c>
      <c r="D285" t="s">
        <v>10</v>
      </c>
      <c r="E285">
        <v>6</v>
      </c>
    </row>
    <row r="286" spans="1:5">
      <c r="A286" t="s">
        <v>340</v>
      </c>
      <c r="B286" s="1">
        <v>45831</v>
      </c>
      <c r="C286" t="s">
        <v>49</v>
      </c>
      <c r="D286" t="s">
        <v>5</v>
      </c>
      <c r="E286">
        <v>4</v>
      </c>
    </row>
    <row r="287" spans="1:5">
      <c r="A287" t="s">
        <v>341</v>
      </c>
      <c r="B287" s="1">
        <v>45832</v>
      </c>
      <c r="C287" t="s">
        <v>37</v>
      </c>
      <c r="D287" t="s">
        <v>24</v>
      </c>
      <c r="E287">
        <v>6</v>
      </c>
    </row>
    <row r="288" spans="1:5">
      <c r="A288" t="s">
        <v>342</v>
      </c>
      <c r="B288" s="1">
        <v>45833</v>
      </c>
      <c r="C288" t="s">
        <v>49</v>
      </c>
      <c r="D288" t="s">
        <v>26</v>
      </c>
      <c r="E288">
        <v>4</v>
      </c>
    </row>
    <row r="289" spans="1:5">
      <c r="A289" t="s">
        <v>343</v>
      </c>
      <c r="B289" s="1">
        <v>45833</v>
      </c>
      <c r="C289" t="s">
        <v>41</v>
      </c>
      <c r="D289" t="s">
        <v>24</v>
      </c>
      <c r="E289">
        <v>10</v>
      </c>
    </row>
    <row r="290" spans="1:5">
      <c r="A290" t="s">
        <v>344</v>
      </c>
      <c r="B290" s="1">
        <v>45834</v>
      </c>
      <c r="C290" t="s">
        <v>49</v>
      </c>
      <c r="D290" t="s">
        <v>17</v>
      </c>
      <c r="E290">
        <v>10</v>
      </c>
    </row>
    <row r="291" spans="1:5">
      <c r="A291" t="s">
        <v>345</v>
      </c>
      <c r="B291" s="1">
        <v>45834</v>
      </c>
      <c r="C291" t="s">
        <v>33</v>
      </c>
      <c r="D291" t="s">
        <v>19</v>
      </c>
      <c r="E291">
        <v>3</v>
      </c>
    </row>
    <row r="292" spans="1:5">
      <c r="A292" t="s">
        <v>346</v>
      </c>
      <c r="B292" s="1">
        <v>45835</v>
      </c>
      <c r="C292" t="s">
        <v>49</v>
      </c>
      <c r="D292" t="s">
        <v>24</v>
      </c>
      <c r="E292">
        <v>7</v>
      </c>
    </row>
    <row r="293" spans="1:5">
      <c r="A293" t="s">
        <v>347</v>
      </c>
      <c r="B293" s="1">
        <v>45836</v>
      </c>
      <c r="C293" t="s">
        <v>33</v>
      </c>
      <c r="D293" t="s">
        <v>14</v>
      </c>
      <c r="E293">
        <v>7</v>
      </c>
    </row>
    <row r="294" spans="1:5">
      <c r="A294" t="s">
        <v>348</v>
      </c>
      <c r="B294" s="1">
        <v>45836</v>
      </c>
      <c r="C294" t="s">
        <v>45</v>
      </c>
      <c r="D294" t="s">
        <v>10</v>
      </c>
      <c r="E294">
        <v>7</v>
      </c>
    </row>
    <row r="295" spans="1:5">
      <c r="A295" t="s">
        <v>349</v>
      </c>
      <c r="B295" s="1">
        <v>45837</v>
      </c>
      <c r="C295" t="s">
        <v>37</v>
      </c>
      <c r="D295" t="s">
        <v>17</v>
      </c>
      <c r="E295">
        <v>7</v>
      </c>
    </row>
    <row r="296" spans="1:5">
      <c r="A296" t="s">
        <v>350</v>
      </c>
      <c r="B296" s="1">
        <v>45837</v>
      </c>
      <c r="C296" t="s">
        <v>37</v>
      </c>
      <c r="D296" t="s">
        <v>19</v>
      </c>
      <c r="E296">
        <v>10</v>
      </c>
    </row>
    <row r="297" spans="1:5">
      <c r="A297" t="s">
        <v>351</v>
      </c>
      <c r="B297" s="1">
        <v>45837</v>
      </c>
      <c r="C297" t="s">
        <v>49</v>
      </c>
      <c r="D297" t="s">
        <v>19</v>
      </c>
      <c r="E297">
        <v>10</v>
      </c>
    </row>
    <row r="298" spans="1:5">
      <c r="A298" t="s">
        <v>352</v>
      </c>
      <c r="B298" s="1">
        <v>45838</v>
      </c>
      <c r="C298" t="s">
        <v>41</v>
      </c>
      <c r="D298" t="s">
        <v>8</v>
      </c>
      <c r="E298">
        <v>4</v>
      </c>
    </row>
    <row r="299" spans="1:5">
      <c r="A299" t="s">
        <v>353</v>
      </c>
      <c r="B299" s="1">
        <v>45838</v>
      </c>
      <c r="C299" t="s">
        <v>37</v>
      </c>
      <c r="D299" t="s">
        <v>17</v>
      </c>
      <c r="E299">
        <v>1</v>
      </c>
    </row>
    <row r="300" spans="1:5">
      <c r="A300" t="s">
        <v>354</v>
      </c>
      <c r="B300" s="1">
        <v>45840</v>
      </c>
      <c r="C300" t="s">
        <v>41</v>
      </c>
      <c r="D300" t="s">
        <v>17</v>
      </c>
      <c r="E300">
        <v>7</v>
      </c>
    </row>
    <row r="301" spans="1:5">
      <c r="A301" t="s">
        <v>355</v>
      </c>
      <c r="B301" s="1">
        <v>45841</v>
      </c>
      <c r="C301" t="s">
        <v>49</v>
      </c>
      <c r="D301" t="s">
        <v>26</v>
      </c>
      <c r="E301">
        <v>2</v>
      </c>
    </row>
    <row r="302" spans="1:5">
      <c r="A302" t="s">
        <v>356</v>
      </c>
      <c r="B302" s="1">
        <v>45842</v>
      </c>
      <c r="C302" t="s">
        <v>45</v>
      </c>
      <c r="D302" t="s">
        <v>26</v>
      </c>
      <c r="E302">
        <v>7</v>
      </c>
    </row>
    <row r="303" spans="1:5">
      <c r="A303" t="s">
        <v>357</v>
      </c>
      <c r="B303" s="1">
        <v>45843</v>
      </c>
      <c r="C303" t="s">
        <v>37</v>
      </c>
      <c r="D303" t="s">
        <v>8</v>
      </c>
      <c r="E303">
        <v>7</v>
      </c>
    </row>
    <row r="304" spans="1:5">
      <c r="A304" t="s">
        <v>358</v>
      </c>
      <c r="B304" s="1">
        <v>45843</v>
      </c>
      <c r="C304" t="s">
        <v>37</v>
      </c>
      <c r="D304" t="s">
        <v>10</v>
      </c>
      <c r="E304">
        <v>1</v>
      </c>
    </row>
    <row r="305" spans="1:5">
      <c r="A305" t="s">
        <v>359</v>
      </c>
      <c r="B305" s="1">
        <v>45844</v>
      </c>
      <c r="C305" t="s">
        <v>49</v>
      </c>
      <c r="D305" t="s">
        <v>21</v>
      </c>
      <c r="E305">
        <v>9</v>
      </c>
    </row>
    <row r="306" spans="1:5">
      <c r="A306" t="s">
        <v>360</v>
      </c>
      <c r="B306" s="1">
        <v>45844</v>
      </c>
      <c r="C306" t="s">
        <v>45</v>
      </c>
      <c r="D306" t="s">
        <v>26</v>
      </c>
      <c r="E306">
        <v>6</v>
      </c>
    </row>
    <row r="307" spans="1:5">
      <c r="A307" t="s">
        <v>361</v>
      </c>
      <c r="B307" s="1">
        <v>45844</v>
      </c>
      <c r="C307" t="s">
        <v>45</v>
      </c>
      <c r="D307" t="s">
        <v>8</v>
      </c>
      <c r="E307">
        <v>8</v>
      </c>
    </row>
    <row r="308" spans="1:5">
      <c r="A308" t="s">
        <v>362</v>
      </c>
      <c r="B308" s="1">
        <v>45844</v>
      </c>
      <c r="C308" t="s">
        <v>33</v>
      </c>
      <c r="D308" t="s">
        <v>5</v>
      </c>
      <c r="E308">
        <v>9</v>
      </c>
    </row>
    <row r="309" spans="1:5">
      <c r="A309" t="s">
        <v>363</v>
      </c>
      <c r="B309" s="1">
        <v>45845</v>
      </c>
      <c r="C309" t="s">
        <v>37</v>
      </c>
      <c r="D309" t="s">
        <v>14</v>
      </c>
      <c r="E309">
        <v>7</v>
      </c>
    </row>
    <row r="310" spans="1:5">
      <c r="A310" t="s">
        <v>364</v>
      </c>
      <c r="B310" s="1">
        <v>45845</v>
      </c>
      <c r="C310" t="s">
        <v>33</v>
      </c>
      <c r="D310" t="s">
        <v>8</v>
      </c>
      <c r="E310">
        <v>4</v>
      </c>
    </row>
    <row r="311" spans="1:5">
      <c r="A311" t="s">
        <v>365</v>
      </c>
      <c r="B311" s="1">
        <v>45845</v>
      </c>
      <c r="C311" t="s">
        <v>45</v>
      </c>
      <c r="D311" t="s">
        <v>24</v>
      </c>
      <c r="E311">
        <v>7</v>
      </c>
    </row>
    <row r="312" spans="1:5">
      <c r="A312" t="s">
        <v>366</v>
      </c>
      <c r="B312" s="1">
        <v>45846</v>
      </c>
      <c r="C312" t="s">
        <v>41</v>
      </c>
      <c r="D312" t="s">
        <v>21</v>
      </c>
      <c r="E312">
        <v>1</v>
      </c>
    </row>
    <row r="313" spans="1:5">
      <c r="A313" t="s">
        <v>367</v>
      </c>
      <c r="B313" s="1">
        <v>45846</v>
      </c>
      <c r="C313" t="s">
        <v>37</v>
      </c>
      <c r="D313" t="s">
        <v>14</v>
      </c>
      <c r="E313">
        <v>7</v>
      </c>
    </row>
    <row r="314" spans="1:5">
      <c r="A314" t="s">
        <v>368</v>
      </c>
      <c r="B314" s="1">
        <v>45847</v>
      </c>
      <c r="C314" t="s">
        <v>37</v>
      </c>
      <c r="D314" t="s">
        <v>5</v>
      </c>
      <c r="E314">
        <v>5</v>
      </c>
    </row>
    <row r="315" spans="1:5">
      <c r="A315" t="s">
        <v>369</v>
      </c>
      <c r="B315" s="1">
        <v>45847</v>
      </c>
      <c r="C315" t="s">
        <v>45</v>
      </c>
      <c r="D315" t="s">
        <v>17</v>
      </c>
      <c r="E315">
        <v>6</v>
      </c>
    </row>
    <row r="316" spans="1:5">
      <c r="A316" t="s">
        <v>370</v>
      </c>
      <c r="B316" s="1">
        <v>45847</v>
      </c>
      <c r="C316" t="s">
        <v>45</v>
      </c>
      <c r="D316" t="s">
        <v>12</v>
      </c>
      <c r="E316">
        <v>4</v>
      </c>
    </row>
    <row r="317" spans="1:5">
      <c r="A317" t="s">
        <v>371</v>
      </c>
      <c r="B317" s="1">
        <v>45847</v>
      </c>
      <c r="C317" t="s">
        <v>37</v>
      </c>
      <c r="D317" t="s">
        <v>19</v>
      </c>
      <c r="E317">
        <v>8</v>
      </c>
    </row>
    <row r="318" spans="1:5">
      <c r="A318" t="s">
        <v>372</v>
      </c>
      <c r="B318" s="1">
        <v>45847</v>
      </c>
      <c r="C318" t="s">
        <v>49</v>
      </c>
      <c r="D318" t="s">
        <v>24</v>
      </c>
      <c r="E318">
        <v>6</v>
      </c>
    </row>
    <row r="319" spans="1:5">
      <c r="A319" t="s">
        <v>373</v>
      </c>
      <c r="B319" s="1">
        <v>45848</v>
      </c>
      <c r="C319" t="s">
        <v>41</v>
      </c>
      <c r="D319" t="s">
        <v>8</v>
      </c>
      <c r="E319">
        <v>10</v>
      </c>
    </row>
    <row r="320" spans="1:5">
      <c r="A320" t="s">
        <v>374</v>
      </c>
      <c r="B320" s="1">
        <v>45848</v>
      </c>
      <c r="C320" t="s">
        <v>33</v>
      </c>
      <c r="D320" t="s">
        <v>17</v>
      </c>
      <c r="E320">
        <v>9</v>
      </c>
    </row>
    <row r="321" spans="1:5">
      <c r="A321" t="s">
        <v>375</v>
      </c>
      <c r="B321" s="1">
        <v>45849</v>
      </c>
      <c r="C321" t="s">
        <v>37</v>
      </c>
      <c r="D321" t="s">
        <v>26</v>
      </c>
      <c r="E321">
        <v>9</v>
      </c>
    </row>
    <row r="322" spans="1:5">
      <c r="A322" t="s">
        <v>376</v>
      </c>
      <c r="B322" s="1">
        <v>45849</v>
      </c>
      <c r="C322" t="s">
        <v>37</v>
      </c>
      <c r="D322" t="s">
        <v>8</v>
      </c>
      <c r="E322">
        <v>2</v>
      </c>
    </row>
    <row r="323" spans="1:5">
      <c r="A323" t="s">
        <v>377</v>
      </c>
      <c r="B323" s="1">
        <v>45849</v>
      </c>
      <c r="C323" t="s">
        <v>41</v>
      </c>
      <c r="D323" t="s">
        <v>19</v>
      </c>
      <c r="E323">
        <v>5</v>
      </c>
    </row>
    <row r="324" spans="1:5">
      <c r="A324" t="s">
        <v>378</v>
      </c>
      <c r="B324" s="1">
        <v>45849</v>
      </c>
      <c r="C324" t="s">
        <v>41</v>
      </c>
      <c r="D324" t="s">
        <v>19</v>
      </c>
      <c r="E324">
        <v>9</v>
      </c>
    </row>
    <row r="325" spans="1:5">
      <c r="A325" t="s">
        <v>379</v>
      </c>
      <c r="B325" s="1">
        <v>45851</v>
      </c>
      <c r="C325" t="s">
        <v>37</v>
      </c>
      <c r="D325" t="s">
        <v>24</v>
      </c>
      <c r="E325">
        <v>8</v>
      </c>
    </row>
    <row r="326" spans="1:5">
      <c r="A326" t="s">
        <v>380</v>
      </c>
      <c r="B326" s="1">
        <v>45852</v>
      </c>
      <c r="C326" t="s">
        <v>37</v>
      </c>
      <c r="D326" t="s">
        <v>21</v>
      </c>
      <c r="E326">
        <v>1</v>
      </c>
    </row>
    <row r="327" spans="1:5">
      <c r="A327" t="s">
        <v>381</v>
      </c>
      <c r="B327" s="1">
        <v>45853</v>
      </c>
      <c r="C327" t="s">
        <v>33</v>
      </c>
      <c r="D327" t="s">
        <v>12</v>
      </c>
      <c r="E327">
        <v>1</v>
      </c>
    </row>
    <row r="328" spans="1:5">
      <c r="A328" t="s">
        <v>382</v>
      </c>
      <c r="B328" s="1">
        <v>45853</v>
      </c>
      <c r="C328" t="s">
        <v>41</v>
      </c>
      <c r="D328" t="s">
        <v>17</v>
      </c>
      <c r="E328">
        <v>5</v>
      </c>
    </row>
    <row r="329" spans="1:5">
      <c r="A329" t="s">
        <v>383</v>
      </c>
      <c r="B329" s="1">
        <v>45855</v>
      </c>
      <c r="C329" t="s">
        <v>41</v>
      </c>
      <c r="D329" t="s">
        <v>12</v>
      </c>
      <c r="E329">
        <v>1</v>
      </c>
    </row>
    <row r="330" spans="1:5">
      <c r="A330" t="s">
        <v>384</v>
      </c>
      <c r="B330" s="1">
        <v>45855</v>
      </c>
      <c r="C330" t="s">
        <v>41</v>
      </c>
      <c r="D330" t="s">
        <v>24</v>
      </c>
      <c r="E330">
        <v>6</v>
      </c>
    </row>
    <row r="331" spans="1:5">
      <c r="A331" t="s">
        <v>385</v>
      </c>
      <c r="B331" s="1">
        <v>45855</v>
      </c>
      <c r="C331" t="s">
        <v>49</v>
      </c>
      <c r="D331" t="s">
        <v>21</v>
      </c>
      <c r="E331">
        <v>1</v>
      </c>
    </row>
    <row r="332" spans="1:5">
      <c r="A332" t="s">
        <v>386</v>
      </c>
      <c r="B332" s="1">
        <v>45856</v>
      </c>
      <c r="C332" t="s">
        <v>49</v>
      </c>
      <c r="D332" t="s">
        <v>17</v>
      </c>
      <c r="E332">
        <v>6</v>
      </c>
    </row>
    <row r="333" spans="1:5">
      <c r="A333" t="s">
        <v>387</v>
      </c>
      <c r="B333" s="1">
        <v>45858</v>
      </c>
      <c r="C333" t="s">
        <v>33</v>
      </c>
      <c r="D333" t="s">
        <v>26</v>
      </c>
      <c r="E333">
        <v>2</v>
      </c>
    </row>
    <row r="334" spans="1:5">
      <c r="A334" t="s">
        <v>388</v>
      </c>
      <c r="B334" s="1">
        <v>45858</v>
      </c>
      <c r="C334" t="s">
        <v>33</v>
      </c>
      <c r="D334" t="s">
        <v>17</v>
      </c>
      <c r="E334">
        <v>2</v>
      </c>
    </row>
    <row r="335" spans="1:5">
      <c r="A335" t="s">
        <v>389</v>
      </c>
      <c r="B335" s="1">
        <v>45859</v>
      </c>
      <c r="C335" t="s">
        <v>33</v>
      </c>
      <c r="D335" t="s">
        <v>14</v>
      </c>
      <c r="E335">
        <v>9</v>
      </c>
    </row>
    <row r="336" spans="1:5">
      <c r="A336" t="s">
        <v>390</v>
      </c>
      <c r="B336" s="1">
        <v>45860</v>
      </c>
      <c r="C336" t="s">
        <v>37</v>
      </c>
      <c r="D336" t="s">
        <v>5</v>
      </c>
      <c r="E336">
        <v>10</v>
      </c>
    </row>
    <row r="337" spans="1:5">
      <c r="A337" t="s">
        <v>391</v>
      </c>
      <c r="B337" s="1">
        <v>45861</v>
      </c>
      <c r="C337" t="s">
        <v>37</v>
      </c>
      <c r="D337" t="s">
        <v>24</v>
      </c>
      <c r="E337">
        <v>10</v>
      </c>
    </row>
    <row r="338" spans="1:5">
      <c r="A338" t="s">
        <v>392</v>
      </c>
      <c r="B338" s="1">
        <v>45863</v>
      </c>
      <c r="C338" t="s">
        <v>49</v>
      </c>
      <c r="D338" t="s">
        <v>19</v>
      </c>
      <c r="E338">
        <v>2</v>
      </c>
    </row>
    <row r="339" spans="1:5">
      <c r="A339" t="s">
        <v>393</v>
      </c>
      <c r="B339" s="1">
        <v>45863</v>
      </c>
      <c r="C339" t="s">
        <v>49</v>
      </c>
      <c r="D339" t="s">
        <v>12</v>
      </c>
      <c r="E339">
        <v>10</v>
      </c>
    </row>
    <row r="340" spans="1:5">
      <c r="A340" t="s">
        <v>394</v>
      </c>
      <c r="B340" s="1">
        <v>45864</v>
      </c>
      <c r="C340" t="s">
        <v>41</v>
      </c>
      <c r="D340" t="s">
        <v>19</v>
      </c>
      <c r="E340">
        <v>3</v>
      </c>
    </row>
    <row r="341" spans="1:5">
      <c r="A341" t="s">
        <v>395</v>
      </c>
      <c r="B341" s="1">
        <v>45865</v>
      </c>
      <c r="C341" t="s">
        <v>33</v>
      </c>
      <c r="D341" t="s">
        <v>21</v>
      </c>
      <c r="E341">
        <v>9</v>
      </c>
    </row>
    <row r="342" spans="1:5">
      <c r="A342" t="s">
        <v>396</v>
      </c>
      <c r="B342" s="1">
        <v>45865</v>
      </c>
      <c r="C342" t="s">
        <v>41</v>
      </c>
      <c r="D342" t="s">
        <v>8</v>
      </c>
      <c r="E342">
        <v>10</v>
      </c>
    </row>
    <row r="343" spans="1:5">
      <c r="A343" t="s">
        <v>397</v>
      </c>
      <c r="B343" s="1">
        <v>45865</v>
      </c>
      <c r="C343" t="s">
        <v>33</v>
      </c>
      <c r="D343" t="s">
        <v>5</v>
      </c>
      <c r="E343">
        <v>5</v>
      </c>
    </row>
    <row r="344" spans="1:5">
      <c r="A344" t="s">
        <v>398</v>
      </c>
      <c r="B344" s="1">
        <v>45870</v>
      </c>
      <c r="C344" t="s">
        <v>41</v>
      </c>
      <c r="D344" t="s">
        <v>19</v>
      </c>
      <c r="E344">
        <v>3</v>
      </c>
    </row>
    <row r="345" spans="1:5">
      <c r="A345" t="s">
        <v>399</v>
      </c>
      <c r="B345" s="1">
        <v>45871</v>
      </c>
      <c r="C345" t="s">
        <v>45</v>
      </c>
      <c r="D345" t="s">
        <v>21</v>
      </c>
      <c r="E345">
        <v>9</v>
      </c>
    </row>
    <row r="346" spans="1:5">
      <c r="A346" t="s">
        <v>400</v>
      </c>
      <c r="B346" s="1">
        <v>45872</v>
      </c>
      <c r="C346" t="s">
        <v>49</v>
      </c>
      <c r="D346" t="s">
        <v>14</v>
      </c>
      <c r="E346">
        <v>2</v>
      </c>
    </row>
    <row r="347" spans="1:5">
      <c r="A347" t="s">
        <v>401</v>
      </c>
      <c r="B347" s="1">
        <v>45872</v>
      </c>
      <c r="C347" t="s">
        <v>37</v>
      </c>
      <c r="D347" t="s">
        <v>5</v>
      </c>
      <c r="E347">
        <v>10</v>
      </c>
    </row>
    <row r="348" spans="1:5">
      <c r="A348" t="s">
        <v>402</v>
      </c>
      <c r="B348" s="1">
        <v>45872</v>
      </c>
      <c r="C348" t="s">
        <v>37</v>
      </c>
      <c r="D348" t="s">
        <v>17</v>
      </c>
      <c r="E348">
        <v>3</v>
      </c>
    </row>
    <row r="349" spans="1:5">
      <c r="A349" t="s">
        <v>403</v>
      </c>
      <c r="B349" s="1">
        <v>45872</v>
      </c>
      <c r="C349" t="s">
        <v>41</v>
      </c>
      <c r="D349" t="s">
        <v>26</v>
      </c>
      <c r="E349">
        <v>10</v>
      </c>
    </row>
    <row r="350" spans="1:5">
      <c r="A350" t="s">
        <v>404</v>
      </c>
      <c r="B350" s="1">
        <v>45872</v>
      </c>
      <c r="C350" t="s">
        <v>45</v>
      </c>
      <c r="D350" t="s">
        <v>5</v>
      </c>
      <c r="E350">
        <v>8</v>
      </c>
    </row>
    <row r="351" spans="1:5">
      <c r="A351" t="s">
        <v>405</v>
      </c>
      <c r="B351" s="1">
        <v>45873</v>
      </c>
      <c r="C351" t="s">
        <v>41</v>
      </c>
      <c r="D351" t="s">
        <v>5</v>
      </c>
      <c r="E351">
        <v>5</v>
      </c>
    </row>
    <row r="352" spans="1:5">
      <c r="A352" t="s">
        <v>406</v>
      </c>
      <c r="B352" s="1">
        <v>45874</v>
      </c>
      <c r="C352" t="s">
        <v>49</v>
      </c>
      <c r="D352" t="s">
        <v>12</v>
      </c>
      <c r="E352">
        <v>9</v>
      </c>
    </row>
    <row r="353" spans="1:5">
      <c r="A353" t="s">
        <v>407</v>
      </c>
      <c r="B353" s="1">
        <v>45874</v>
      </c>
      <c r="C353" t="s">
        <v>45</v>
      </c>
      <c r="D353" t="s">
        <v>19</v>
      </c>
      <c r="E353">
        <v>5</v>
      </c>
    </row>
    <row r="354" spans="1:5">
      <c r="A354" t="s">
        <v>408</v>
      </c>
      <c r="B354" s="1">
        <v>45874</v>
      </c>
      <c r="C354" t="s">
        <v>49</v>
      </c>
      <c r="D354" t="s">
        <v>8</v>
      </c>
      <c r="E354">
        <v>4</v>
      </c>
    </row>
    <row r="355" spans="1:5">
      <c r="A355" t="s">
        <v>409</v>
      </c>
      <c r="B355" s="1">
        <v>45874</v>
      </c>
      <c r="C355" t="s">
        <v>49</v>
      </c>
      <c r="D355" t="s">
        <v>26</v>
      </c>
      <c r="E355">
        <v>7</v>
      </c>
    </row>
    <row r="356" spans="1:5">
      <c r="A356" t="s">
        <v>410</v>
      </c>
      <c r="B356" s="1">
        <v>45875</v>
      </c>
      <c r="C356" t="s">
        <v>41</v>
      </c>
      <c r="D356" t="s">
        <v>10</v>
      </c>
      <c r="E356">
        <v>5</v>
      </c>
    </row>
    <row r="357" spans="1:5">
      <c r="A357" t="s">
        <v>411</v>
      </c>
      <c r="B357" s="1">
        <v>45875</v>
      </c>
      <c r="C357" t="s">
        <v>37</v>
      </c>
      <c r="D357" t="s">
        <v>19</v>
      </c>
      <c r="E357">
        <v>5</v>
      </c>
    </row>
    <row r="358" spans="1:5">
      <c r="A358" t="s">
        <v>412</v>
      </c>
      <c r="B358" s="1">
        <v>45875</v>
      </c>
      <c r="C358" t="s">
        <v>37</v>
      </c>
      <c r="D358" t="s">
        <v>24</v>
      </c>
      <c r="E358">
        <v>10</v>
      </c>
    </row>
    <row r="359" spans="1:5">
      <c r="A359" t="s">
        <v>413</v>
      </c>
      <c r="B359" s="1">
        <v>45875</v>
      </c>
      <c r="C359" t="s">
        <v>33</v>
      </c>
      <c r="D359" t="s">
        <v>24</v>
      </c>
      <c r="E359">
        <v>1</v>
      </c>
    </row>
    <row r="360" spans="1:5">
      <c r="A360" t="s">
        <v>414</v>
      </c>
      <c r="B360" s="1">
        <v>45877</v>
      </c>
      <c r="C360" t="s">
        <v>33</v>
      </c>
      <c r="D360" t="s">
        <v>26</v>
      </c>
      <c r="E360">
        <v>10</v>
      </c>
    </row>
    <row r="361" spans="1:5">
      <c r="A361" t="s">
        <v>415</v>
      </c>
      <c r="B361" s="1">
        <v>45877</v>
      </c>
      <c r="C361" t="s">
        <v>33</v>
      </c>
      <c r="D361" t="s">
        <v>24</v>
      </c>
      <c r="E361">
        <v>8</v>
      </c>
    </row>
    <row r="362" spans="1:5">
      <c r="A362" t="s">
        <v>416</v>
      </c>
      <c r="B362" s="1">
        <v>45877</v>
      </c>
      <c r="C362" t="s">
        <v>45</v>
      </c>
      <c r="D362" t="s">
        <v>17</v>
      </c>
      <c r="E362">
        <v>3</v>
      </c>
    </row>
    <row r="363" spans="1:5">
      <c r="A363" t="s">
        <v>417</v>
      </c>
      <c r="B363" s="1">
        <v>45878</v>
      </c>
      <c r="C363" t="s">
        <v>41</v>
      </c>
      <c r="D363" t="s">
        <v>26</v>
      </c>
      <c r="E363">
        <v>1</v>
      </c>
    </row>
    <row r="364" spans="1:5">
      <c r="A364" t="s">
        <v>418</v>
      </c>
      <c r="B364" s="1">
        <v>45879</v>
      </c>
      <c r="C364" t="s">
        <v>33</v>
      </c>
      <c r="D364" t="s">
        <v>19</v>
      </c>
      <c r="E364">
        <v>2</v>
      </c>
    </row>
    <row r="365" spans="1:5">
      <c r="A365" t="s">
        <v>419</v>
      </c>
      <c r="B365" s="1">
        <v>45879</v>
      </c>
      <c r="C365" t="s">
        <v>41</v>
      </c>
      <c r="D365" t="s">
        <v>10</v>
      </c>
      <c r="E365">
        <v>3</v>
      </c>
    </row>
    <row r="366" spans="1:5">
      <c r="A366" t="s">
        <v>420</v>
      </c>
      <c r="B366" s="1">
        <v>45880</v>
      </c>
      <c r="C366" t="s">
        <v>33</v>
      </c>
      <c r="D366" t="s">
        <v>5</v>
      </c>
      <c r="E366">
        <v>7</v>
      </c>
    </row>
    <row r="367" spans="1:5">
      <c r="A367" t="s">
        <v>421</v>
      </c>
      <c r="B367" s="1">
        <v>45880</v>
      </c>
      <c r="C367" t="s">
        <v>45</v>
      </c>
      <c r="D367" t="s">
        <v>12</v>
      </c>
      <c r="E367">
        <v>9</v>
      </c>
    </row>
    <row r="368" spans="1:5">
      <c r="A368" t="s">
        <v>422</v>
      </c>
      <c r="B368" s="1">
        <v>45880</v>
      </c>
      <c r="C368" t="s">
        <v>33</v>
      </c>
      <c r="D368" t="s">
        <v>5</v>
      </c>
      <c r="E368">
        <v>9</v>
      </c>
    </row>
    <row r="369" spans="1:5">
      <c r="A369" t="s">
        <v>423</v>
      </c>
      <c r="B369" s="1">
        <v>45880</v>
      </c>
      <c r="C369" t="s">
        <v>41</v>
      </c>
      <c r="D369" t="s">
        <v>17</v>
      </c>
      <c r="E369">
        <v>8</v>
      </c>
    </row>
    <row r="370" spans="1:5">
      <c r="A370" t="s">
        <v>424</v>
      </c>
      <c r="B370" s="1">
        <v>45881</v>
      </c>
      <c r="C370" t="s">
        <v>41</v>
      </c>
      <c r="D370" t="s">
        <v>12</v>
      </c>
      <c r="E370">
        <v>10</v>
      </c>
    </row>
    <row r="371" spans="1:5">
      <c r="A371" t="s">
        <v>425</v>
      </c>
      <c r="B371" s="1">
        <v>45881</v>
      </c>
      <c r="C371" t="s">
        <v>45</v>
      </c>
      <c r="D371" t="s">
        <v>17</v>
      </c>
      <c r="E371">
        <v>7</v>
      </c>
    </row>
    <row r="372" spans="1:5">
      <c r="A372" t="s">
        <v>426</v>
      </c>
      <c r="B372" s="1">
        <v>45882</v>
      </c>
      <c r="C372" t="s">
        <v>45</v>
      </c>
      <c r="D372" t="s">
        <v>8</v>
      </c>
      <c r="E372">
        <v>7</v>
      </c>
    </row>
    <row r="373" spans="1:5">
      <c r="A373" t="s">
        <v>427</v>
      </c>
      <c r="B373" s="1">
        <v>45882</v>
      </c>
      <c r="C373" t="s">
        <v>37</v>
      </c>
      <c r="D373" t="s">
        <v>8</v>
      </c>
      <c r="E373">
        <v>7</v>
      </c>
    </row>
    <row r="374" spans="1:5">
      <c r="A374" t="s">
        <v>428</v>
      </c>
      <c r="B374" s="1">
        <v>45882</v>
      </c>
      <c r="C374" t="s">
        <v>45</v>
      </c>
      <c r="D374" t="s">
        <v>21</v>
      </c>
      <c r="E374">
        <v>1</v>
      </c>
    </row>
    <row r="375" spans="1:5">
      <c r="A375" t="s">
        <v>429</v>
      </c>
      <c r="B375" s="1">
        <v>45883</v>
      </c>
      <c r="C375" t="s">
        <v>33</v>
      </c>
      <c r="D375" t="s">
        <v>8</v>
      </c>
      <c r="E375">
        <v>5</v>
      </c>
    </row>
    <row r="376" spans="1:5">
      <c r="A376" t="s">
        <v>430</v>
      </c>
      <c r="B376" s="1">
        <v>45884</v>
      </c>
      <c r="C376" t="s">
        <v>49</v>
      </c>
      <c r="D376" t="s">
        <v>14</v>
      </c>
      <c r="E376">
        <v>3</v>
      </c>
    </row>
    <row r="377" spans="1:5">
      <c r="A377" t="s">
        <v>431</v>
      </c>
      <c r="B377" s="1">
        <v>45884</v>
      </c>
      <c r="C377" t="s">
        <v>37</v>
      </c>
      <c r="D377" t="s">
        <v>8</v>
      </c>
      <c r="E377">
        <v>8</v>
      </c>
    </row>
    <row r="378" spans="1:5">
      <c r="A378" t="s">
        <v>432</v>
      </c>
      <c r="B378" s="1">
        <v>45884</v>
      </c>
      <c r="C378" t="s">
        <v>45</v>
      </c>
      <c r="D378" t="s">
        <v>26</v>
      </c>
      <c r="E378">
        <v>1</v>
      </c>
    </row>
    <row r="379" spans="1:5">
      <c r="A379" t="s">
        <v>433</v>
      </c>
      <c r="B379" s="1">
        <v>45886</v>
      </c>
      <c r="C379" t="s">
        <v>49</v>
      </c>
      <c r="D379" t="s">
        <v>24</v>
      </c>
      <c r="E379">
        <v>5</v>
      </c>
    </row>
    <row r="380" spans="1:5">
      <c r="A380" t="s">
        <v>434</v>
      </c>
      <c r="B380" s="1">
        <v>45887</v>
      </c>
      <c r="C380" t="s">
        <v>37</v>
      </c>
      <c r="D380" t="s">
        <v>12</v>
      </c>
      <c r="E380">
        <v>2</v>
      </c>
    </row>
    <row r="381" spans="1:5">
      <c r="A381" t="s">
        <v>435</v>
      </c>
      <c r="B381" s="1">
        <v>45888</v>
      </c>
      <c r="C381" t="s">
        <v>45</v>
      </c>
      <c r="D381" t="s">
        <v>12</v>
      </c>
      <c r="E381">
        <v>10</v>
      </c>
    </row>
    <row r="382" spans="1:5">
      <c r="A382" t="s">
        <v>436</v>
      </c>
      <c r="B382" s="1">
        <v>45888</v>
      </c>
      <c r="C382" t="s">
        <v>41</v>
      </c>
      <c r="D382" t="s">
        <v>12</v>
      </c>
      <c r="E382">
        <v>1</v>
      </c>
    </row>
    <row r="383" spans="1:5">
      <c r="A383" t="s">
        <v>437</v>
      </c>
      <c r="B383" s="1">
        <v>45888</v>
      </c>
      <c r="C383" t="s">
        <v>45</v>
      </c>
      <c r="D383" t="s">
        <v>24</v>
      </c>
      <c r="E383">
        <v>1</v>
      </c>
    </row>
    <row r="384" spans="1:5">
      <c r="A384" t="s">
        <v>438</v>
      </c>
      <c r="B384" s="1">
        <v>45888</v>
      </c>
      <c r="C384" t="s">
        <v>41</v>
      </c>
      <c r="D384" t="s">
        <v>26</v>
      </c>
      <c r="E384">
        <v>1</v>
      </c>
    </row>
    <row r="385" spans="1:5">
      <c r="A385" t="s">
        <v>439</v>
      </c>
      <c r="B385" s="1">
        <v>45890</v>
      </c>
      <c r="C385" t="s">
        <v>33</v>
      </c>
      <c r="D385" t="s">
        <v>19</v>
      </c>
      <c r="E385">
        <v>4</v>
      </c>
    </row>
    <row r="386" spans="1:5">
      <c r="A386" t="s">
        <v>440</v>
      </c>
      <c r="B386" s="1">
        <v>45890</v>
      </c>
      <c r="C386" t="s">
        <v>45</v>
      </c>
      <c r="D386" t="s">
        <v>17</v>
      </c>
      <c r="E386">
        <v>2</v>
      </c>
    </row>
    <row r="387" spans="1:5">
      <c r="A387" t="s">
        <v>441</v>
      </c>
      <c r="B387" s="1">
        <v>45890</v>
      </c>
      <c r="C387" t="s">
        <v>41</v>
      </c>
      <c r="D387" t="s">
        <v>8</v>
      </c>
      <c r="E387">
        <v>1</v>
      </c>
    </row>
    <row r="388" spans="1:5">
      <c r="A388" t="s">
        <v>442</v>
      </c>
      <c r="B388" s="1">
        <v>45890</v>
      </c>
      <c r="C388" t="s">
        <v>49</v>
      </c>
      <c r="D388" t="s">
        <v>17</v>
      </c>
      <c r="E388">
        <v>5</v>
      </c>
    </row>
    <row r="389" spans="1:5">
      <c r="A389" t="s">
        <v>443</v>
      </c>
      <c r="B389" s="1">
        <v>45890</v>
      </c>
      <c r="C389" t="s">
        <v>33</v>
      </c>
      <c r="D389" t="s">
        <v>5</v>
      </c>
      <c r="E389">
        <v>8</v>
      </c>
    </row>
    <row r="390" spans="1:5">
      <c r="A390" t="s">
        <v>444</v>
      </c>
      <c r="B390" s="1">
        <v>45891</v>
      </c>
      <c r="C390" t="s">
        <v>33</v>
      </c>
      <c r="D390" t="s">
        <v>19</v>
      </c>
      <c r="E390">
        <v>3</v>
      </c>
    </row>
    <row r="391" spans="1:5">
      <c r="A391" t="s">
        <v>445</v>
      </c>
      <c r="B391" s="1">
        <v>45892</v>
      </c>
      <c r="C391" t="s">
        <v>37</v>
      </c>
      <c r="D391" t="s">
        <v>19</v>
      </c>
      <c r="E391">
        <v>9</v>
      </c>
    </row>
    <row r="392" spans="1:5">
      <c r="A392" t="s">
        <v>446</v>
      </c>
      <c r="B392" s="1">
        <v>45893</v>
      </c>
      <c r="C392" t="s">
        <v>33</v>
      </c>
      <c r="D392" t="s">
        <v>24</v>
      </c>
      <c r="E392">
        <v>1</v>
      </c>
    </row>
    <row r="393" spans="1:5">
      <c r="A393" t="s">
        <v>447</v>
      </c>
      <c r="B393" s="1">
        <v>45894</v>
      </c>
      <c r="C393" t="s">
        <v>41</v>
      </c>
      <c r="D393" t="s">
        <v>10</v>
      </c>
      <c r="E393">
        <v>9</v>
      </c>
    </row>
    <row r="394" spans="1:5">
      <c r="A394" t="s">
        <v>448</v>
      </c>
      <c r="B394" s="1">
        <v>45894</v>
      </c>
      <c r="C394" t="s">
        <v>45</v>
      </c>
      <c r="D394" t="s">
        <v>14</v>
      </c>
      <c r="E394">
        <v>2</v>
      </c>
    </row>
    <row r="395" spans="1:5">
      <c r="A395" t="s">
        <v>449</v>
      </c>
      <c r="B395" s="1">
        <v>45894</v>
      </c>
      <c r="C395" t="s">
        <v>41</v>
      </c>
      <c r="D395" t="s">
        <v>14</v>
      </c>
      <c r="E395">
        <v>4</v>
      </c>
    </row>
    <row r="396" spans="1:5">
      <c r="A396" t="s">
        <v>450</v>
      </c>
      <c r="B396" s="1">
        <v>45895</v>
      </c>
      <c r="C396" t="s">
        <v>49</v>
      </c>
      <c r="D396" t="s">
        <v>26</v>
      </c>
      <c r="E396">
        <v>9</v>
      </c>
    </row>
    <row r="397" spans="1:5">
      <c r="A397" t="s">
        <v>451</v>
      </c>
      <c r="B397" s="1">
        <v>45895</v>
      </c>
      <c r="C397" t="s">
        <v>49</v>
      </c>
      <c r="D397" t="s">
        <v>17</v>
      </c>
      <c r="E397">
        <v>9</v>
      </c>
    </row>
    <row r="398" spans="1:5">
      <c r="A398" t="s">
        <v>452</v>
      </c>
      <c r="B398" s="1">
        <v>45896</v>
      </c>
      <c r="C398" t="s">
        <v>33</v>
      </c>
      <c r="D398" t="s">
        <v>5</v>
      </c>
      <c r="E398">
        <v>1</v>
      </c>
    </row>
    <row r="399" spans="1:5">
      <c r="A399" t="s">
        <v>453</v>
      </c>
      <c r="B399" s="1">
        <v>45896</v>
      </c>
      <c r="C399" t="s">
        <v>45</v>
      </c>
      <c r="D399" t="s">
        <v>12</v>
      </c>
      <c r="E399">
        <v>5</v>
      </c>
    </row>
    <row r="400" spans="1:5">
      <c r="A400" t="s">
        <v>454</v>
      </c>
      <c r="B400" s="1">
        <v>45897</v>
      </c>
      <c r="C400" t="s">
        <v>37</v>
      </c>
      <c r="D400" t="s">
        <v>12</v>
      </c>
      <c r="E400">
        <v>4</v>
      </c>
    </row>
    <row r="401" spans="1:5">
      <c r="A401" t="s">
        <v>455</v>
      </c>
      <c r="B401" s="1">
        <v>45898</v>
      </c>
      <c r="C401" t="s">
        <v>49</v>
      </c>
      <c r="D401" t="s">
        <v>12</v>
      </c>
      <c r="E401">
        <v>8</v>
      </c>
    </row>
    <row r="402" spans="1:5">
      <c r="A402" t="s">
        <v>456</v>
      </c>
      <c r="B402" s="1">
        <v>45899</v>
      </c>
      <c r="C402" t="s">
        <v>33</v>
      </c>
      <c r="D402" t="s">
        <v>19</v>
      </c>
      <c r="E402">
        <v>5</v>
      </c>
    </row>
    <row r="403" spans="1:5">
      <c r="A403" t="s">
        <v>457</v>
      </c>
      <c r="B403" s="1">
        <v>45899</v>
      </c>
      <c r="C403" t="s">
        <v>41</v>
      </c>
      <c r="D403" t="s">
        <v>17</v>
      </c>
      <c r="E403">
        <v>6</v>
      </c>
    </row>
    <row r="404" spans="1:5">
      <c r="A404" t="s">
        <v>458</v>
      </c>
      <c r="B404" s="1">
        <v>45900</v>
      </c>
      <c r="C404" t="s">
        <v>41</v>
      </c>
      <c r="D404" t="s">
        <v>19</v>
      </c>
      <c r="E404">
        <v>1</v>
      </c>
    </row>
    <row r="405" spans="1:5">
      <c r="A405" t="s">
        <v>459</v>
      </c>
      <c r="B405" s="1">
        <v>45901</v>
      </c>
      <c r="C405" t="s">
        <v>45</v>
      </c>
      <c r="D405" t="s">
        <v>5</v>
      </c>
      <c r="E405">
        <v>5</v>
      </c>
    </row>
    <row r="406" spans="1:5">
      <c r="A406" t="s">
        <v>460</v>
      </c>
      <c r="B406" s="1">
        <v>45903</v>
      </c>
      <c r="C406" t="s">
        <v>41</v>
      </c>
      <c r="D406" t="s">
        <v>26</v>
      </c>
      <c r="E406">
        <v>9</v>
      </c>
    </row>
    <row r="407" spans="1:5">
      <c r="A407" t="s">
        <v>461</v>
      </c>
      <c r="B407" s="1">
        <v>45903</v>
      </c>
      <c r="C407" t="s">
        <v>37</v>
      </c>
      <c r="D407" t="s">
        <v>17</v>
      </c>
      <c r="E407">
        <v>10</v>
      </c>
    </row>
    <row r="408" spans="1:5">
      <c r="A408" t="s">
        <v>462</v>
      </c>
      <c r="B408" s="1">
        <v>45904</v>
      </c>
      <c r="C408" t="s">
        <v>41</v>
      </c>
      <c r="D408" t="s">
        <v>21</v>
      </c>
      <c r="E408">
        <v>2</v>
      </c>
    </row>
    <row r="409" spans="1:5">
      <c r="A409" t="s">
        <v>463</v>
      </c>
      <c r="B409" s="1">
        <v>45904</v>
      </c>
      <c r="C409" t="s">
        <v>45</v>
      </c>
      <c r="D409" t="s">
        <v>26</v>
      </c>
      <c r="E409">
        <v>3</v>
      </c>
    </row>
    <row r="410" spans="1:5">
      <c r="A410" t="s">
        <v>464</v>
      </c>
      <c r="B410" s="1">
        <v>45904</v>
      </c>
      <c r="C410" t="s">
        <v>37</v>
      </c>
      <c r="D410" t="s">
        <v>12</v>
      </c>
      <c r="E410">
        <v>5</v>
      </c>
    </row>
    <row r="411" spans="1:5">
      <c r="A411" t="s">
        <v>465</v>
      </c>
      <c r="B411" s="1">
        <v>45904</v>
      </c>
      <c r="C411" t="s">
        <v>49</v>
      </c>
      <c r="D411" t="s">
        <v>10</v>
      </c>
      <c r="E411">
        <v>10</v>
      </c>
    </row>
    <row r="412" spans="1:5">
      <c r="A412" t="s">
        <v>466</v>
      </c>
      <c r="B412" s="1">
        <v>45906</v>
      </c>
      <c r="C412" t="s">
        <v>37</v>
      </c>
      <c r="D412" t="s">
        <v>17</v>
      </c>
      <c r="E412">
        <v>2</v>
      </c>
    </row>
    <row r="413" spans="1:5">
      <c r="A413" t="s">
        <v>467</v>
      </c>
      <c r="B413" s="1">
        <v>45907</v>
      </c>
      <c r="C413" t="s">
        <v>49</v>
      </c>
      <c r="D413" t="s">
        <v>5</v>
      </c>
      <c r="E413">
        <v>6</v>
      </c>
    </row>
    <row r="414" spans="1:5">
      <c r="A414" t="s">
        <v>468</v>
      </c>
      <c r="B414" s="1">
        <v>45907</v>
      </c>
      <c r="C414" t="s">
        <v>45</v>
      </c>
      <c r="D414" t="s">
        <v>10</v>
      </c>
      <c r="E414">
        <v>4</v>
      </c>
    </row>
    <row r="415" spans="1:5">
      <c r="A415" t="s">
        <v>469</v>
      </c>
      <c r="B415" s="1">
        <v>45909</v>
      </c>
      <c r="C415" t="s">
        <v>33</v>
      </c>
      <c r="D415" t="s">
        <v>10</v>
      </c>
      <c r="E415">
        <v>4</v>
      </c>
    </row>
    <row r="416" spans="1:5">
      <c r="A416" t="s">
        <v>470</v>
      </c>
      <c r="B416" s="1">
        <v>45909</v>
      </c>
      <c r="C416" t="s">
        <v>45</v>
      </c>
      <c r="D416" t="s">
        <v>26</v>
      </c>
      <c r="E416">
        <v>3</v>
      </c>
    </row>
    <row r="417" spans="1:5">
      <c r="A417" t="s">
        <v>471</v>
      </c>
      <c r="B417" s="1">
        <v>45909</v>
      </c>
      <c r="C417" t="s">
        <v>45</v>
      </c>
      <c r="D417" t="s">
        <v>8</v>
      </c>
      <c r="E417">
        <v>3</v>
      </c>
    </row>
    <row r="418" spans="1:5">
      <c r="A418" t="s">
        <v>472</v>
      </c>
      <c r="B418" s="1">
        <v>45909</v>
      </c>
      <c r="C418" t="s">
        <v>37</v>
      </c>
      <c r="D418" t="s">
        <v>10</v>
      </c>
      <c r="E418">
        <v>5</v>
      </c>
    </row>
    <row r="419" spans="1:5">
      <c r="A419" t="s">
        <v>473</v>
      </c>
      <c r="B419" s="1">
        <v>45910</v>
      </c>
      <c r="C419" t="s">
        <v>33</v>
      </c>
      <c r="D419" t="s">
        <v>12</v>
      </c>
      <c r="E419">
        <v>6</v>
      </c>
    </row>
    <row r="420" spans="1:5">
      <c r="A420" t="s">
        <v>474</v>
      </c>
      <c r="B420" s="1">
        <v>45910</v>
      </c>
      <c r="C420" t="s">
        <v>45</v>
      </c>
      <c r="D420" t="s">
        <v>17</v>
      </c>
      <c r="E420">
        <v>6</v>
      </c>
    </row>
    <row r="421" spans="1:5">
      <c r="A421" t="s">
        <v>475</v>
      </c>
      <c r="B421" s="1">
        <v>45910</v>
      </c>
      <c r="C421" t="s">
        <v>45</v>
      </c>
      <c r="D421" t="s">
        <v>8</v>
      </c>
      <c r="E421">
        <v>7</v>
      </c>
    </row>
    <row r="422" spans="1:5">
      <c r="A422" t="s">
        <v>476</v>
      </c>
      <c r="B422" s="1">
        <v>45911</v>
      </c>
      <c r="C422" t="s">
        <v>33</v>
      </c>
      <c r="D422" t="s">
        <v>24</v>
      </c>
      <c r="E422">
        <v>3</v>
      </c>
    </row>
    <row r="423" spans="1:5">
      <c r="A423" t="s">
        <v>477</v>
      </c>
      <c r="B423" s="1">
        <v>45911</v>
      </c>
      <c r="C423" t="s">
        <v>41</v>
      </c>
      <c r="D423" t="s">
        <v>12</v>
      </c>
      <c r="E423">
        <v>10</v>
      </c>
    </row>
    <row r="424" spans="1:5">
      <c r="A424" t="s">
        <v>478</v>
      </c>
      <c r="B424" s="1">
        <v>45911</v>
      </c>
      <c r="C424" t="s">
        <v>41</v>
      </c>
      <c r="D424" t="s">
        <v>19</v>
      </c>
      <c r="E424">
        <v>2</v>
      </c>
    </row>
    <row r="425" spans="1:5">
      <c r="A425" t="s">
        <v>479</v>
      </c>
      <c r="B425" s="1">
        <v>45912</v>
      </c>
      <c r="C425" t="s">
        <v>41</v>
      </c>
      <c r="D425" t="s">
        <v>14</v>
      </c>
      <c r="E425">
        <v>4</v>
      </c>
    </row>
    <row r="426" spans="1:5">
      <c r="A426" t="s">
        <v>480</v>
      </c>
      <c r="B426" s="1">
        <v>45912</v>
      </c>
      <c r="C426" t="s">
        <v>33</v>
      </c>
      <c r="D426" t="s">
        <v>19</v>
      </c>
      <c r="E426">
        <v>2</v>
      </c>
    </row>
    <row r="427" spans="1:5">
      <c r="A427" t="s">
        <v>481</v>
      </c>
      <c r="B427" s="1">
        <v>45913</v>
      </c>
      <c r="C427" t="s">
        <v>41</v>
      </c>
      <c r="D427" t="s">
        <v>5</v>
      </c>
      <c r="E427">
        <v>8</v>
      </c>
    </row>
    <row r="428" spans="1:5">
      <c r="A428" t="s">
        <v>482</v>
      </c>
      <c r="B428" s="1">
        <v>45914</v>
      </c>
      <c r="C428" t="s">
        <v>37</v>
      </c>
      <c r="D428" t="s">
        <v>21</v>
      </c>
      <c r="E428">
        <v>8</v>
      </c>
    </row>
    <row r="429" spans="1:5">
      <c r="A429" t="s">
        <v>483</v>
      </c>
      <c r="B429" s="1">
        <v>45914</v>
      </c>
      <c r="C429" t="s">
        <v>49</v>
      </c>
      <c r="D429" t="s">
        <v>5</v>
      </c>
      <c r="E429">
        <v>4</v>
      </c>
    </row>
    <row r="430" spans="1:5">
      <c r="A430" t="s">
        <v>484</v>
      </c>
      <c r="B430" s="1">
        <v>45915</v>
      </c>
      <c r="C430" t="s">
        <v>41</v>
      </c>
      <c r="D430" t="s">
        <v>10</v>
      </c>
      <c r="E430">
        <v>4</v>
      </c>
    </row>
    <row r="431" spans="1:5">
      <c r="A431" t="s">
        <v>485</v>
      </c>
      <c r="B431" s="1">
        <v>45915</v>
      </c>
      <c r="C431" t="s">
        <v>37</v>
      </c>
      <c r="D431" t="s">
        <v>19</v>
      </c>
      <c r="E431">
        <v>2</v>
      </c>
    </row>
    <row r="432" spans="1:5">
      <c r="A432" t="s">
        <v>486</v>
      </c>
      <c r="B432" s="1">
        <v>45916</v>
      </c>
      <c r="C432" t="s">
        <v>41</v>
      </c>
      <c r="D432" t="s">
        <v>8</v>
      </c>
      <c r="E432">
        <v>2</v>
      </c>
    </row>
    <row r="433" spans="1:5">
      <c r="A433" t="s">
        <v>487</v>
      </c>
      <c r="B433" s="1">
        <v>45916</v>
      </c>
      <c r="C433" t="s">
        <v>41</v>
      </c>
      <c r="D433" t="s">
        <v>8</v>
      </c>
      <c r="E433">
        <v>5</v>
      </c>
    </row>
    <row r="434" spans="1:5">
      <c r="A434" t="s">
        <v>488</v>
      </c>
      <c r="B434" s="1">
        <v>45917</v>
      </c>
      <c r="C434" t="s">
        <v>45</v>
      </c>
      <c r="D434" t="s">
        <v>21</v>
      </c>
      <c r="E434">
        <v>4</v>
      </c>
    </row>
    <row r="435" spans="1:5">
      <c r="A435" t="s">
        <v>489</v>
      </c>
      <c r="B435" s="1">
        <v>45918</v>
      </c>
      <c r="C435" t="s">
        <v>37</v>
      </c>
      <c r="D435" t="s">
        <v>17</v>
      </c>
      <c r="E435">
        <v>4</v>
      </c>
    </row>
    <row r="436" spans="1:5">
      <c r="A436" t="s">
        <v>490</v>
      </c>
      <c r="B436" s="1">
        <v>45919</v>
      </c>
      <c r="C436" t="s">
        <v>49</v>
      </c>
      <c r="D436" t="s">
        <v>14</v>
      </c>
      <c r="E436">
        <v>1</v>
      </c>
    </row>
    <row r="437" spans="1:5">
      <c r="A437" t="s">
        <v>491</v>
      </c>
      <c r="B437" s="1">
        <v>45920</v>
      </c>
      <c r="C437" t="s">
        <v>33</v>
      </c>
      <c r="D437" t="s">
        <v>21</v>
      </c>
      <c r="E437">
        <v>3</v>
      </c>
    </row>
    <row r="438" spans="1:5">
      <c r="A438" t="s">
        <v>492</v>
      </c>
      <c r="B438" s="1">
        <v>45921</v>
      </c>
      <c r="C438" t="s">
        <v>49</v>
      </c>
      <c r="D438" t="s">
        <v>14</v>
      </c>
      <c r="E438">
        <v>1</v>
      </c>
    </row>
    <row r="439" spans="1:5">
      <c r="A439" t="s">
        <v>493</v>
      </c>
      <c r="B439" s="1">
        <v>45921</v>
      </c>
      <c r="C439" t="s">
        <v>33</v>
      </c>
      <c r="D439" t="s">
        <v>21</v>
      </c>
      <c r="E439">
        <v>7</v>
      </c>
    </row>
    <row r="440" spans="1:5">
      <c r="A440" t="s">
        <v>494</v>
      </c>
      <c r="B440" s="1">
        <v>45921</v>
      </c>
      <c r="C440" t="s">
        <v>45</v>
      </c>
      <c r="D440" t="s">
        <v>14</v>
      </c>
      <c r="E440">
        <v>4</v>
      </c>
    </row>
    <row r="441" spans="1:5">
      <c r="A441" t="s">
        <v>495</v>
      </c>
      <c r="B441" s="1">
        <v>45921</v>
      </c>
      <c r="C441" t="s">
        <v>33</v>
      </c>
      <c r="D441" t="s">
        <v>21</v>
      </c>
      <c r="E441">
        <v>2</v>
      </c>
    </row>
    <row r="442" spans="1:5">
      <c r="A442" t="s">
        <v>496</v>
      </c>
      <c r="B442" s="1">
        <v>45921</v>
      </c>
      <c r="C442" t="s">
        <v>45</v>
      </c>
      <c r="D442" t="s">
        <v>24</v>
      </c>
      <c r="E442">
        <v>5</v>
      </c>
    </row>
    <row r="443" spans="1:5">
      <c r="A443" t="s">
        <v>497</v>
      </c>
      <c r="B443" s="1">
        <v>45922</v>
      </c>
      <c r="C443" t="s">
        <v>49</v>
      </c>
      <c r="D443" t="s">
        <v>8</v>
      </c>
      <c r="E443">
        <v>3</v>
      </c>
    </row>
    <row r="444" spans="1:5">
      <c r="A444" t="s">
        <v>498</v>
      </c>
      <c r="B444" s="1">
        <v>45922</v>
      </c>
      <c r="C444" t="s">
        <v>37</v>
      </c>
      <c r="D444" t="s">
        <v>5</v>
      </c>
      <c r="E444">
        <v>10</v>
      </c>
    </row>
    <row r="445" spans="1:5">
      <c r="A445" t="s">
        <v>499</v>
      </c>
      <c r="B445" s="1">
        <v>45924</v>
      </c>
      <c r="C445" t="s">
        <v>41</v>
      </c>
      <c r="D445" t="s">
        <v>21</v>
      </c>
      <c r="E445">
        <v>2</v>
      </c>
    </row>
    <row r="446" spans="1:5">
      <c r="A446" t="s">
        <v>500</v>
      </c>
      <c r="B446" s="1">
        <v>45925</v>
      </c>
      <c r="C446" t="s">
        <v>33</v>
      </c>
      <c r="D446" t="s">
        <v>14</v>
      </c>
      <c r="E446">
        <v>4</v>
      </c>
    </row>
    <row r="447" spans="1:5">
      <c r="A447" t="s">
        <v>501</v>
      </c>
      <c r="B447" s="1">
        <v>45925</v>
      </c>
      <c r="C447" t="s">
        <v>49</v>
      </c>
      <c r="D447" t="s">
        <v>12</v>
      </c>
      <c r="E447">
        <v>8</v>
      </c>
    </row>
    <row r="448" spans="1:5">
      <c r="A448" t="s">
        <v>502</v>
      </c>
      <c r="B448" s="1">
        <v>45925</v>
      </c>
      <c r="C448" t="s">
        <v>37</v>
      </c>
      <c r="D448" t="s">
        <v>8</v>
      </c>
      <c r="E448">
        <v>8</v>
      </c>
    </row>
    <row r="449" spans="1:5">
      <c r="A449" t="s">
        <v>503</v>
      </c>
      <c r="B449" s="1">
        <v>45925</v>
      </c>
      <c r="C449" t="s">
        <v>49</v>
      </c>
      <c r="D449" t="s">
        <v>10</v>
      </c>
      <c r="E449">
        <v>7</v>
      </c>
    </row>
    <row r="450" spans="1:5">
      <c r="A450" t="s">
        <v>504</v>
      </c>
      <c r="B450" s="1">
        <v>45926</v>
      </c>
      <c r="C450" t="s">
        <v>37</v>
      </c>
      <c r="D450" t="s">
        <v>19</v>
      </c>
      <c r="E450">
        <v>8</v>
      </c>
    </row>
    <row r="451" spans="1:5">
      <c r="A451" t="s">
        <v>505</v>
      </c>
      <c r="B451" s="1">
        <v>45927</v>
      </c>
      <c r="C451" t="s">
        <v>45</v>
      </c>
      <c r="D451" t="s">
        <v>26</v>
      </c>
      <c r="E451">
        <v>2</v>
      </c>
    </row>
    <row r="452" spans="1:5">
      <c r="A452" t="s">
        <v>506</v>
      </c>
      <c r="B452" s="1">
        <v>45928</v>
      </c>
      <c r="C452" t="s">
        <v>41</v>
      </c>
      <c r="D452" t="s">
        <v>5</v>
      </c>
      <c r="E452">
        <v>10</v>
      </c>
    </row>
    <row r="453" spans="1:5">
      <c r="A453" t="s">
        <v>507</v>
      </c>
      <c r="B453" s="1">
        <v>45928</v>
      </c>
      <c r="C453" t="s">
        <v>33</v>
      </c>
      <c r="D453" t="s">
        <v>17</v>
      </c>
      <c r="E453">
        <v>1</v>
      </c>
    </row>
    <row r="454" spans="1:5">
      <c r="A454" t="s">
        <v>508</v>
      </c>
      <c r="B454" s="1">
        <v>45928</v>
      </c>
      <c r="C454" t="s">
        <v>33</v>
      </c>
      <c r="D454" t="s">
        <v>14</v>
      </c>
      <c r="E454">
        <v>4</v>
      </c>
    </row>
    <row r="455" spans="1:5">
      <c r="A455" t="s">
        <v>509</v>
      </c>
      <c r="B455" s="1">
        <v>45928</v>
      </c>
      <c r="C455" t="s">
        <v>49</v>
      </c>
      <c r="D455" t="s">
        <v>21</v>
      </c>
      <c r="E455">
        <v>10</v>
      </c>
    </row>
    <row r="456" spans="1:5">
      <c r="A456" t="s">
        <v>510</v>
      </c>
      <c r="B456" s="1">
        <v>45929</v>
      </c>
      <c r="C456" t="s">
        <v>49</v>
      </c>
      <c r="D456" t="s">
        <v>12</v>
      </c>
      <c r="E456">
        <v>7</v>
      </c>
    </row>
    <row r="457" spans="1:5">
      <c r="A457" t="s">
        <v>511</v>
      </c>
      <c r="B457" s="1">
        <v>45930</v>
      </c>
      <c r="C457" t="s">
        <v>33</v>
      </c>
      <c r="D457" t="s">
        <v>8</v>
      </c>
      <c r="E457">
        <v>8</v>
      </c>
    </row>
    <row r="458" spans="1:5">
      <c r="A458" t="s">
        <v>512</v>
      </c>
      <c r="B458" s="1">
        <v>45930</v>
      </c>
      <c r="C458" t="s">
        <v>49</v>
      </c>
      <c r="D458" t="s">
        <v>8</v>
      </c>
      <c r="E458">
        <v>5</v>
      </c>
    </row>
    <row r="459" spans="1:5">
      <c r="A459" t="s">
        <v>513</v>
      </c>
      <c r="B459" s="1">
        <v>45931</v>
      </c>
      <c r="C459" t="s">
        <v>45</v>
      </c>
      <c r="D459" t="s">
        <v>21</v>
      </c>
      <c r="E459">
        <v>7</v>
      </c>
    </row>
    <row r="460" spans="1:5">
      <c r="A460" t="s">
        <v>514</v>
      </c>
      <c r="B460" s="1">
        <v>45932</v>
      </c>
      <c r="C460" t="s">
        <v>41</v>
      </c>
      <c r="D460" t="s">
        <v>14</v>
      </c>
      <c r="E460">
        <v>5</v>
      </c>
    </row>
    <row r="461" spans="1:5">
      <c r="A461" t="s">
        <v>515</v>
      </c>
      <c r="B461" s="1">
        <v>45934</v>
      </c>
      <c r="C461" t="s">
        <v>45</v>
      </c>
      <c r="D461" t="s">
        <v>14</v>
      </c>
      <c r="E461">
        <v>1</v>
      </c>
    </row>
    <row r="462" spans="1:5">
      <c r="A462" t="s">
        <v>516</v>
      </c>
      <c r="B462" s="1">
        <v>45934</v>
      </c>
      <c r="C462" t="s">
        <v>41</v>
      </c>
      <c r="D462" t="s">
        <v>26</v>
      </c>
      <c r="E462">
        <v>8</v>
      </c>
    </row>
    <row r="463" spans="1:5">
      <c r="A463" t="s">
        <v>517</v>
      </c>
      <c r="B463" s="1">
        <v>45934</v>
      </c>
      <c r="C463" t="s">
        <v>33</v>
      </c>
      <c r="D463" t="s">
        <v>12</v>
      </c>
      <c r="E463">
        <v>4</v>
      </c>
    </row>
    <row r="464" spans="1:5">
      <c r="A464" t="s">
        <v>518</v>
      </c>
      <c r="B464" s="1">
        <v>45934</v>
      </c>
      <c r="C464" t="s">
        <v>49</v>
      </c>
      <c r="D464" t="s">
        <v>17</v>
      </c>
      <c r="E464">
        <v>4</v>
      </c>
    </row>
    <row r="465" spans="1:5">
      <c r="A465" t="s">
        <v>519</v>
      </c>
      <c r="B465" s="1">
        <v>45935</v>
      </c>
      <c r="C465" t="s">
        <v>41</v>
      </c>
      <c r="D465" t="s">
        <v>10</v>
      </c>
      <c r="E465">
        <v>4</v>
      </c>
    </row>
    <row r="466" spans="1:5">
      <c r="A466" t="s">
        <v>520</v>
      </c>
      <c r="B466" s="1">
        <v>45936</v>
      </c>
      <c r="C466" t="s">
        <v>41</v>
      </c>
      <c r="D466" t="s">
        <v>17</v>
      </c>
      <c r="E466">
        <v>2</v>
      </c>
    </row>
    <row r="467" spans="1:5">
      <c r="A467" t="s">
        <v>521</v>
      </c>
      <c r="B467" s="1">
        <v>45936</v>
      </c>
      <c r="C467" t="s">
        <v>37</v>
      </c>
      <c r="D467" t="s">
        <v>14</v>
      </c>
      <c r="E467">
        <v>6</v>
      </c>
    </row>
    <row r="468" spans="1:5">
      <c r="A468" t="s">
        <v>522</v>
      </c>
      <c r="B468" s="1">
        <v>45937</v>
      </c>
      <c r="C468" t="s">
        <v>41</v>
      </c>
      <c r="D468" t="s">
        <v>21</v>
      </c>
      <c r="E468">
        <v>4</v>
      </c>
    </row>
    <row r="469" spans="1:5">
      <c r="A469" t="s">
        <v>523</v>
      </c>
      <c r="B469" s="1">
        <v>45937</v>
      </c>
      <c r="C469" t="s">
        <v>37</v>
      </c>
      <c r="D469" t="s">
        <v>17</v>
      </c>
      <c r="E469">
        <v>7</v>
      </c>
    </row>
    <row r="470" spans="1:5">
      <c r="A470" t="s">
        <v>524</v>
      </c>
      <c r="B470" s="1">
        <v>45937</v>
      </c>
      <c r="C470" t="s">
        <v>33</v>
      </c>
      <c r="D470" t="s">
        <v>21</v>
      </c>
      <c r="E470">
        <v>2</v>
      </c>
    </row>
    <row r="471" spans="1:5">
      <c r="A471" t="s">
        <v>525</v>
      </c>
      <c r="B471" s="1">
        <v>45937</v>
      </c>
      <c r="C471" t="s">
        <v>37</v>
      </c>
      <c r="D471" t="s">
        <v>24</v>
      </c>
      <c r="E471">
        <v>1</v>
      </c>
    </row>
    <row r="472" spans="1:5">
      <c r="A472" t="s">
        <v>526</v>
      </c>
      <c r="B472" s="1">
        <v>45937</v>
      </c>
      <c r="C472" t="s">
        <v>45</v>
      </c>
      <c r="D472" t="s">
        <v>14</v>
      </c>
      <c r="E472">
        <v>5</v>
      </c>
    </row>
    <row r="473" spans="1:5">
      <c r="A473" t="s">
        <v>527</v>
      </c>
      <c r="B473" s="1">
        <v>45938</v>
      </c>
      <c r="C473" t="s">
        <v>41</v>
      </c>
      <c r="D473" t="s">
        <v>17</v>
      </c>
      <c r="E473">
        <v>3</v>
      </c>
    </row>
    <row r="474" spans="1:5">
      <c r="A474" t="s">
        <v>528</v>
      </c>
      <c r="B474" s="1">
        <v>45940</v>
      </c>
      <c r="C474" t="s">
        <v>33</v>
      </c>
      <c r="D474" t="s">
        <v>19</v>
      </c>
      <c r="E474">
        <v>3</v>
      </c>
    </row>
    <row r="475" spans="1:5">
      <c r="A475" t="s">
        <v>529</v>
      </c>
      <c r="B475" s="1">
        <v>45940</v>
      </c>
      <c r="C475" t="s">
        <v>45</v>
      </c>
      <c r="D475" t="s">
        <v>21</v>
      </c>
      <c r="E475">
        <v>3</v>
      </c>
    </row>
    <row r="476" spans="1:5">
      <c r="A476" t="s">
        <v>530</v>
      </c>
      <c r="B476" s="1">
        <v>45940</v>
      </c>
      <c r="C476" t="s">
        <v>41</v>
      </c>
      <c r="D476" t="s">
        <v>19</v>
      </c>
      <c r="E476">
        <v>3</v>
      </c>
    </row>
    <row r="477" spans="1:5">
      <c r="A477" t="s">
        <v>531</v>
      </c>
      <c r="B477" s="1">
        <v>45941</v>
      </c>
      <c r="C477" t="s">
        <v>37</v>
      </c>
      <c r="D477" t="s">
        <v>26</v>
      </c>
      <c r="E477">
        <v>8</v>
      </c>
    </row>
    <row r="478" spans="1:5">
      <c r="A478" t="s">
        <v>532</v>
      </c>
      <c r="B478" s="1">
        <v>45941</v>
      </c>
      <c r="C478" t="s">
        <v>41</v>
      </c>
      <c r="D478" t="s">
        <v>12</v>
      </c>
      <c r="E478">
        <v>9</v>
      </c>
    </row>
    <row r="479" spans="1:5">
      <c r="A479" t="s">
        <v>533</v>
      </c>
      <c r="B479" s="1">
        <v>45941</v>
      </c>
      <c r="C479" t="s">
        <v>45</v>
      </c>
      <c r="D479" t="s">
        <v>17</v>
      </c>
      <c r="E479">
        <v>7</v>
      </c>
    </row>
    <row r="480" spans="1:5">
      <c r="A480" t="s">
        <v>534</v>
      </c>
      <c r="B480" s="1">
        <v>45941</v>
      </c>
      <c r="C480" t="s">
        <v>33</v>
      </c>
      <c r="D480" t="s">
        <v>26</v>
      </c>
      <c r="E480">
        <v>6</v>
      </c>
    </row>
    <row r="481" spans="1:5">
      <c r="A481" t="s">
        <v>535</v>
      </c>
      <c r="B481" s="1">
        <v>45942</v>
      </c>
      <c r="C481" t="s">
        <v>49</v>
      </c>
      <c r="D481" t="s">
        <v>8</v>
      </c>
      <c r="E481">
        <v>9</v>
      </c>
    </row>
    <row r="482" spans="1:5">
      <c r="A482" t="s">
        <v>536</v>
      </c>
      <c r="B482" s="1">
        <v>45942</v>
      </c>
      <c r="C482" t="s">
        <v>49</v>
      </c>
      <c r="D482" t="s">
        <v>19</v>
      </c>
      <c r="E482">
        <v>8</v>
      </c>
    </row>
    <row r="483" spans="1:5">
      <c r="A483" t="s">
        <v>537</v>
      </c>
      <c r="B483" s="1">
        <v>45943</v>
      </c>
      <c r="C483" t="s">
        <v>49</v>
      </c>
      <c r="D483" t="s">
        <v>21</v>
      </c>
      <c r="E483">
        <v>1</v>
      </c>
    </row>
    <row r="484" spans="1:5">
      <c r="A484" t="s">
        <v>538</v>
      </c>
      <c r="B484" s="1">
        <v>45943</v>
      </c>
      <c r="C484" t="s">
        <v>45</v>
      </c>
      <c r="D484" t="s">
        <v>12</v>
      </c>
      <c r="E484">
        <v>2</v>
      </c>
    </row>
    <row r="485" spans="1:5">
      <c r="A485" t="s">
        <v>539</v>
      </c>
      <c r="B485" s="1">
        <v>45943</v>
      </c>
      <c r="C485" t="s">
        <v>37</v>
      </c>
      <c r="D485" t="s">
        <v>8</v>
      </c>
      <c r="E485">
        <v>5</v>
      </c>
    </row>
    <row r="486" spans="1:5">
      <c r="A486" t="s">
        <v>540</v>
      </c>
      <c r="B486" s="1">
        <v>45945</v>
      </c>
      <c r="C486" t="s">
        <v>37</v>
      </c>
      <c r="D486" t="s">
        <v>10</v>
      </c>
      <c r="E486">
        <v>3</v>
      </c>
    </row>
    <row r="487" spans="1:5">
      <c r="A487" t="s">
        <v>541</v>
      </c>
      <c r="B487" s="1">
        <v>45945</v>
      </c>
      <c r="C487" t="s">
        <v>37</v>
      </c>
      <c r="D487" t="s">
        <v>26</v>
      </c>
      <c r="E487">
        <v>2</v>
      </c>
    </row>
    <row r="488" spans="1:5">
      <c r="A488" t="s">
        <v>542</v>
      </c>
      <c r="B488" s="1">
        <v>45946</v>
      </c>
      <c r="C488" t="s">
        <v>37</v>
      </c>
      <c r="D488" t="s">
        <v>17</v>
      </c>
      <c r="E488">
        <v>5</v>
      </c>
    </row>
    <row r="489" spans="1:5">
      <c r="A489" t="s">
        <v>543</v>
      </c>
      <c r="B489" s="1">
        <v>45946</v>
      </c>
      <c r="C489" t="s">
        <v>37</v>
      </c>
      <c r="D489" t="s">
        <v>24</v>
      </c>
      <c r="E489">
        <v>2</v>
      </c>
    </row>
    <row r="490" spans="1:5">
      <c r="A490" t="s">
        <v>544</v>
      </c>
      <c r="B490" s="1">
        <v>45946</v>
      </c>
      <c r="C490" t="s">
        <v>41</v>
      </c>
      <c r="D490" t="s">
        <v>14</v>
      </c>
      <c r="E490">
        <v>6</v>
      </c>
    </row>
    <row r="491" spans="1:5">
      <c r="A491" t="s">
        <v>545</v>
      </c>
      <c r="B491" s="1">
        <v>45947</v>
      </c>
      <c r="C491" t="s">
        <v>49</v>
      </c>
      <c r="D491" t="s">
        <v>8</v>
      </c>
      <c r="E491">
        <v>3</v>
      </c>
    </row>
    <row r="492" spans="1:5">
      <c r="A492" t="s">
        <v>546</v>
      </c>
      <c r="B492" s="1">
        <v>45947</v>
      </c>
      <c r="C492" t="s">
        <v>41</v>
      </c>
      <c r="D492" t="s">
        <v>17</v>
      </c>
      <c r="E492">
        <v>10</v>
      </c>
    </row>
    <row r="493" spans="1:5">
      <c r="A493" t="s">
        <v>547</v>
      </c>
      <c r="B493" s="1">
        <v>45950</v>
      </c>
      <c r="C493" t="s">
        <v>45</v>
      </c>
      <c r="D493" t="s">
        <v>8</v>
      </c>
      <c r="E493">
        <v>5</v>
      </c>
    </row>
    <row r="494" spans="1:5">
      <c r="A494" t="s">
        <v>548</v>
      </c>
      <c r="B494" s="1">
        <v>45951</v>
      </c>
      <c r="C494" t="s">
        <v>33</v>
      </c>
      <c r="D494" t="s">
        <v>5</v>
      </c>
      <c r="E494">
        <v>5</v>
      </c>
    </row>
    <row r="495" spans="1:5">
      <c r="A495" t="s">
        <v>549</v>
      </c>
      <c r="B495" s="1">
        <v>45951</v>
      </c>
      <c r="C495" t="s">
        <v>41</v>
      </c>
      <c r="D495" t="s">
        <v>26</v>
      </c>
      <c r="E495">
        <v>5</v>
      </c>
    </row>
    <row r="496" spans="1:5">
      <c r="A496" t="s">
        <v>550</v>
      </c>
      <c r="B496" s="1">
        <v>45952</v>
      </c>
      <c r="C496" t="s">
        <v>41</v>
      </c>
      <c r="D496" t="s">
        <v>26</v>
      </c>
      <c r="E496">
        <v>2</v>
      </c>
    </row>
    <row r="497" spans="1:5">
      <c r="A497" t="s">
        <v>551</v>
      </c>
      <c r="B497" s="1">
        <v>45953</v>
      </c>
      <c r="C497" t="s">
        <v>37</v>
      </c>
      <c r="D497" t="s">
        <v>26</v>
      </c>
      <c r="E497">
        <v>8</v>
      </c>
    </row>
    <row r="498" spans="1:5">
      <c r="A498" t="s">
        <v>552</v>
      </c>
      <c r="B498" s="1">
        <v>45955</v>
      </c>
      <c r="C498" t="s">
        <v>45</v>
      </c>
      <c r="D498" t="s">
        <v>19</v>
      </c>
      <c r="E498">
        <v>3</v>
      </c>
    </row>
    <row r="499" spans="1:5">
      <c r="A499" t="s">
        <v>553</v>
      </c>
      <c r="B499" s="1">
        <v>45956</v>
      </c>
      <c r="C499" t="s">
        <v>41</v>
      </c>
      <c r="D499" t="s">
        <v>12</v>
      </c>
      <c r="E499">
        <v>4</v>
      </c>
    </row>
    <row r="500" spans="1:5">
      <c r="A500" t="s">
        <v>554</v>
      </c>
      <c r="B500" s="1">
        <v>45958</v>
      </c>
      <c r="C500" t="s">
        <v>45</v>
      </c>
      <c r="D500" t="s">
        <v>26</v>
      </c>
      <c r="E500">
        <v>2</v>
      </c>
    </row>
    <row r="501" spans="1:5">
      <c r="A501" t="s">
        <v>555</v>
      </c>
      <c r="B501" s="1">
        <v>45959</v>
      </c>
      <c r="C501" t="s">
        <v>45</v>
      </c>
      <c r="D501" t="s">
        <v>19</v>
      </c>
      <c r="E501">
        <v>10</v>
      </c>
    </row>
    <row r="502" spans="1:5">
      <c r="A502" t="s">
        <v>556</v>
      </c>
      <c r="B502" s="1">
        <v>45959</v>
      </c>
      <c r="C502" t="s">
        <v>33</v>
      </c>
      <c r="D502" t="s">
        <v>14</v>
      </c>
      <c r="E502">
        <v>8</v>
      </c>
    </row>
    <row r="503" spans="1:5">
      <c r="A503" t="s">
        <v>557</v>
      </c>
      <c r="B503" s="1">
        <v>45961</v>
      </c>
      <c r="C503" t="s">
        <v>41</v>
      </c>
      <c r="D503" t="s">
        <v>8</v>
      </c>
      <c r="E503">
        <v>2</v>
      </c>
    </row>
    <row r="504" spans="1:5">
      <c r="A504" t="s">
        <v>558</v>
      </c>
      <c r="B504" s="1">
        <v>45961</v>
      </c>
      <c r="C504" t="s">
        <v>37</v>
      </c>
      <c r="D504" t="s">
        <v>21</v>
      </c>
      <c r="E504">
        <v>3</v>
      </c>
    </row>
    <row r="505" spans="1:5">
      <c r="A505" t="s">
        <v>559</v>
      </c>
      <c r="B505" s="1">
        <v>45961</v>
      </c>
      <c r="C505" t="s">
        <v>45</v>
      </c>
      <c r="D505" t="s">
        <v>8</v>
      </c>
      <c r="E505">
        <v>5</v>
      </c>
    </row>
    <row r="506" spans="1:5">
      <c r="A506" t="s">
        <v>560</v>
      </c>
      <c r="B506" s="1">
        <v>45961</v>
      </c>
      <c r="C506" t="s">
        <v>41</v>
      </c>
      <c r="D506" t="s">
        <v>26</v>
      </c>
      <c r="E506">
        <v>2</v>
      </c>
    </row>
    <row r="507" spans="1:5">
      <c r="A507" t="s">
        <v>561</v>
      </c>
      <c r="B507" s="1">
        <v>45961</v>
      </c>
      <c r="C507" t="s">
        <v>37</v>
      </c>
      <c r="D507" t="s">
        <v>24</v>
      </c>
      <c r="E507">
        <v>9</v>
      </c>
    </row>
    <row r="508" spans="1:5">
      <c r="A508" t="s">
        <v>562</v>
      </c>
      <c r="B508" s="1">
        <v>45962</v>
      </c>
      <c r="C508" t="s">
        <v>45</v>
      </c>
      <c r="D508" t="s">
        <v>21</v>
      </c>
      <c r="E508">
        <v>4</v>
      </c>
    </row>
    <row r="509" spans="1:5">
      <c r="A509" t="s">
        <v>563</v>
      </c>
      <c r="B509" s="1">
        <v>45963</v>
      </c>
      <c r="C509" t="s">
        <v>49</v>
      </c>
      <c r="D509" t="s">
        <v>19</v>
      </c>
      <c r="E509">
        <v>3</v>
      </c>
    </row>
    <row r="510" spans="1:5">
      <c r="A510" t="s">
        <v>564</v>
      </c>
      <c r="B510" s="1">
        <v>45964</v>
      </c>
      <c r="C510" t="s">
        <v>49</v>
      </c>
      <c r="D510" t="s">
        <v>14</v>
      </c>
      <c r="E510">
        <v>10</v>
      </c>
    </row>
    <row r="511" spans="1:5">
      <c r="A511" t="s">
        <v>565</v>
      </c>
      <c r="B511" s="1">
        <v>45964</v>
      </c>
      <c r="C511" t="s">
        <v>49</v>
      </c>
      <c r="D511" t="s">
        <v>21</v>
      </c>
      <c r="E511">
        <v>1</v>
      </c>
    </row>
    <row r="512" spans="1:5">
      <c r="A512" t="s">
        <v>566</v>
      </c>
      <c r="B512" s="1">
        <v>45965</v>
      </c>
      <c r="C512" t="s">
        <v>33</v>
      </c>
      <c r="D512" t="s">
        <v>8</v>
      </c>
      <c r="E512">
        <v>9</v>
      </c>
    </row>
    <row r="513" spans="1:5">
      <c r="A513" t="s">
        <v>567</v>
      </c>
      <c r="B513" s="1">
        <v>45965</v>
      </c>
      <c r="C513" t="s">
        <v>45</v>
      </c>
      <c r="D513" t="s">
        <v>17</v>
      </c>
      <c r="E513">
        <v>4</v>
      </c>
    </row>
    <row r="514" spans="1:5">
      <c r="A514" t="s">
        <v>568</v>
      </c>
      <c r="B514" s="1">
        <v>45966</v>
      </c>
      <c r="C514" t="s">
        <v>49</v>
      </c>
      <c r="D514" t="s">
        <v>14</v>
      </c>
      <c r="E514">
        <v>4</v>
      </c>
    </row>
    <row r="515" spans="1:5">
      <c r="A515" t="s">
        <v>569</v>
      </c>
      <c r="B515" s="1">
        <v>45967</v>
      </c>
      <c r="C515" t="s">
        <v>33</v>
      </c>
      <c r="D515" t="s">
        <v>10</v>
      </c>
      <c r="E515">
        <v>3</v>
      </c>
    </row>
    <row r="516" spans="1:5">
      <c r="A516" t="s">
        <v>570</v>
      </c>
      <c r="B516" s="1">
        <v>45967</v>
      </c>
      <c r="C516" t="s">
        <v>41</v>
      </c>
      <c r="D516" t="s">
        <v>24</v>
      </c>
      <c r="E516">
        <v>3</v>
      </c>
    </row>
    <row r="517" spans="1:5">
      <c r="A517" t="s">
        <v>571</v>
      </c>
      <c r="B517" s="1">
        <v>45968</v>
      </c>
      <c r="C517" t="s">
        <v>41</v>
      </c>
      <c r="D517" t="s">
        <v>8</v>
      </c>
      <c r="E517">
        <v>7</v>
      </c>
    </row>
    <row r="518" spans="1:5">
      <c r="A518" t="s">
        <v>572</v>
      </c>
      <c r="B518" s="1">
        <v>45970</v>
      </c>
      <c r="C518" t="s">
        <v>49</v>
      </c>
      <c r="D518" t="s">
        <v>21</v>
      </c>
      <c r="E518">
        <v>9</v>
      </c>
    </row>
    <row r="519" spans="1:5">
      <c r="A519" t="s">
        <v>573</v>
      </c>
      <c r="B519" s="1">
        <v>45971</v>
      </c>
      <c r="C519" t="s">
        <v>49</v>
      </c>
      <c r="D519" t="s">
        <v>12</v>
      </c>
      <c r="E519">
        <v>3</v>
      </c>
    </row>
    <row r="520" spans="1:5">
      <c r="A520" t="s">
        <v>574</v>
      </c>
      <c r="B520" s="1">
        <v>45971</v>
      </c>
      <c r="C520" t="s">
        <v>33</v>
      </c>
      <c r="D520" t="s">
        <v>24</v>
      </c>
      <c r="E520">
        <v>9</v>
      </c>
    </row>
    <row r="521" spans="1:5">
      <c r="A521" t="s">
        <v>575</v>
      </c>
      <c r="B521" s="1">
        <v>45971</v>
      </c>
      <c r="C521" t="s">
        <v>37</v>
      </c>
      <c r="D521" t="s">
        <v>12</v>
      </c>
      <c r="E521">
        <v>10</v>
      </c>
    </row>
    <row r="522" spans="1:5">
      <c r="A522" t="s">
        <v>576</v>
      </c>
      <c r="B522" s="1">
        <v>45972</v>
      </c>
      <c r="C522" t="s">
        <v>41</v>
      </c>
      <c r="D522" t="s">
        <v>5</v>
      </c>
      <c r="E522">
        <v>8</v>
      </c>
    </row>
    <row r="523" spans="1:5">
      <c r="A523" t="s">
        <v>577</v>
      </c>
      <c r="B523" s="1">
        <v>45973</v>
      </c>
      <c r="C523" t="s">
        <v>41</v>
      </c>
      <c r="D523" t="s">
        <v>8</v>
      </c>
      <c r="E523">
        <v>1</v>
      </c>
    </row>
    <row r="524" spans="1:5">
      <c r="A524" t="s">
        <v>578</v>
      </c>
      <c r="B524" s="1">
        <v>45973</v>
      </c>
      <c r="C524" t="s">
        <v>37</v>
      </c>
      <c r="D524" t="s">
        <v>10</v>
      </c>
      <c r="E524">
        <v>6</v>
      </c>
    </row>
    <row r="525" spans="1:5">
      <c r="A525" t="s">
        <v>579</v>
      </c>
      <c r="B525" s="1">
        <v>45974</v>
      </c>
      <c r="C525" t="s">
        <v>33</v>
      </c>
      <c r="D525" t="s">
        <v>17</v>
      </c>
      <c r="E525">
        <v>10</v>
      </c>
    </row>
    <row r="526" spans="1:5">
      <c r="A526" t="s">
        <v>580</v>
      </c>
      <c r="B526" s="1">
        <v>45975</v>
      </c>
      <c r="C526" t="s">
        <v>37</v>
      </c>
      <c r="D526" t="s">
        <v>17</v>
      </c>
      <c r="E526">
        <v>4</v>
      </c>
    </row>
    <row r="527" spans="1:5">
      <c r="A527" t="s">
        <v>581</v>
      </c>
      <c r="B527" s="1">
        <v>45975</v>
      </c>
      <c r="C527" t="s">
        <v>41</v>
      </c>
      <c r="D527" t="s">
        <v>10</v>
      </c>
      <c r="E527">
        <v>4</v>
      </c>
    </row>
    <row r="528" spans="1:5">
      <c r="A528" t="s">
        <v>582</v>
      </c>
      <c r="B528" s="1">
        <v>45975</v>
      </c>
      <c r="C528" t="s">
        <v>41</v>
      </c>
      <c r="D528" t="s">
        <v>26</v>
      </c>
      <c r="E528">
        <v>10</v>
      </c>
    </row>
    <row r="529" spans="1:5">
      <c r="A529" t="s">
        <v>583</v>
      </c>
      <c r="B529" s="1">
        <v>45976</v>
      </c>
      <c r="C529" t="s">
        <v>45</v>
      </c>
      <c r="D529" t="s">
        <v>5</v>
      </c>
      <c r="E529">
        <v>1</v>
      </c>
    </row>
    <row r="530" spans="1:5">
      <c r="A530" t="s">
        <v>584</v>
      </c>
      <c r="B530" s="1">
        <v>45977</v>
      </c>
      <c r="C530" t="s">
        <v>49</v>
      </c>
      <c r="D530" t="s">
        <v>17</v>
      </c>
      <c r="E530">
        <v>3</v>
      </c>
    </row>
    <row r="531" spans="1:5">
      <c r="A531" t="s">
        <v>585</v>
      </c>
      <c r="B531" s="1">
        <v>45978</v>
      </c>
      <c r="C531" t="s">
        <v>49</v>
      </c>
      <c r="D531" t="s">
        <v>26</v>
      </c>
      <c r="E531">
        <v>8</v>
      </c>
    </row>
    <row r="532" spans="1:5">
      <c r="A532" t="s">
        <v>586</v>
      </c>
      <c r="B532" s="1">
        <v>45979</v>
      </c>
      <c r="C532" t="s">
        <v>37</v>
      </c>
      <c r="D532" t="s">
        <v>8</v>
      </c>
      <c r="E532">
        <v>4</v>
      </c>
    </row>
    <row r="533" spans="1:5">
      <c r="A533" t="s">
        <v>587</v>
      </c>
      <c r="B533" s="1">
        <v>45980</v>
      </c>
      <c r="C533" t="s">
        <v>45</v>
      </c>
      <c r="D533" t="s">
        <v>5</v>
      </c>
      <c r="E533">
        <v>2</v>
      </c>
    </row>
    <row r="534" spans="1:5">
      <c r="A534" t="s">
        <v>588</v>
      </c>
      <c r="B534" s="1">
        <v>45980</v>
      </c>
      <c r="C534" t="s">
        <v>49</v>
      </c>
      <c r="D534" t="s">
        <v>8</v>
      </c>
      <c r="E534">
        <v>2</v>
      </c>
    </row>
    <row r="535" spans="1:5">
      <c r="A535" t="s">
        <v>589</v>
      </c>
      <c r="B535" s="1">
        <v>45980</v>
      </c>
      <c r="C535" t="s">
        <v>45</v>
      </c>
      <c r="D535" t="s">
        <v>5</v>
      </c>
      <c r="E535">
        <v>9</v>
      </c>
    </row>
    <row r="536" spans="1:5">
      <c r="A536" t="s">
        <v>590</v>
      </c>
      <c r="B536" s="1">
        <v>45981</v>
      </c>
      <c r="C536" t="s">
        <v>45</v>
      </c>
      <c r="D536" t="s">
        <v>24</v>
      </c>
      <c r="E536">
        <v>5</v>
      </c>
    </row>
    <row r="537" spans="1:5">
      <c r="A537" t="s">
        <v>591</v>
      </c>
      <c r="B537" s="1">
        <v>45982</v>
      </c>
      <c r="C537" t="s">
        <v>41</v>
      </c>
      <c r="D537" t="s">
        <v>24</v>
      </c>
      <c r="E537">
        <v>8</v>
      </c>
    </row>
    <row r="538" spans="1:5">
      <c r="A538" t="s">
        <v>592</v>
      </c>
      <c r="B538" s="1">
        <v>45982</v>
      </c>
      <c r="C538" t="s">
        <v>33</v>
      </c>
      <c r="D538" t="s">
        <v>19</v>
      </c>
      <c r="E538">
        <v>8</v>
      </c>
    </row>
    <row r="539" spans="1:5">
      <c r="A539" t="s">
        <v>593</v>
      </c>
      <c r="B539" s="1">
        <v>45982</v>
      </c>
      <c r="C539" t="s">
        <v>49</v>
      </c>
      <c r="D539" t="s">
        <v>24</v>
      </c>
      <c r="E539">
        <v>9</v>
      </c>
    </row>
    <row r="540" spans="1:5">
      <c r="A540" t="s">
        <v>594</v>
      </c>
      <c r="B540" s="1">
        <v>45983</v>
      </c>
      <c r="C540" t="s">
        <v>49</v>
      </c>
      <c r="D540" t="s">
        <v>21</v>
      </c>
      <c r="E540">
        <v>10</v>
      </c>
    </row>
    <row r="541" spans="1:5">
      <c r="A541" t="s">
        <v>595</v>
      </c>
      <c r="B541" s="1">
        <v>45983</v>
      </c>
      <c r="C541" t="s">
        <v>49</v>
      </c>
      <c r="D541" t="s">
        <v>26</v>
      </c>
      <c r="E541">
        <v>9</v>
      </c>
    </row>
    <row r="542" spans="1:5">
      <c r="A542" t="s">
        <v>596</v>
      </c>
      <c r="B542" s="1">
        <v>45984</v>
      </c>
      <c r="C542" t="s">
        <v>49</v>
      </c>
      <c r="D542" t="s">
        <v>17</v>
      </c>
      <c r="E542">
        <v>5</v>
      </c>
    </row>
    <row r="543" spans="1:5">
      <c r="A543" t="s">
        <v>597</v>
      </c>
      <c r="B543" s="1">
        <v>45984</v>
      </c>
      <c r="C543" t="s">
        <v>33</v>
      </c>
      <c r="D543" t="s">
        <v>17</v>
      </c>
      <c r="E543">
        <v>3</v>
      </c>
    </row>
    <row r="544" spans="1:5">
      <c r="A544" t="s">
        <v>598</v>
      </c>
      <c r="B544" s="1">
        <v>45985</v>
      </c>
      <c r="C544" t="s">
        <v>37</v>
      </c>
      <c r="D544" t="s">
        <v>14</v>
      </c>
      <c r="E544">
        <v>7</v>
      </c>
    </row>
    <row r="545" spans="1:5">
      <c r="A545" t="s">
        <v>599</v>
      </c>
      <c r="B545" s="1">
        <v>45986</v>
      </c>
      <c r="C545" t="s">
        <v>41</v>
      </c>
      <c r="D545" t="s">
        <v>12</v>
      </c>
      <c r="E545">
        <v>1</v>
      </c>
    </row>
    <row r="546" spans="1:5">
      <c r="A546" t="s">
        <v>600</v>
      </c>
      <c r="B546" s="1">
        <v>45987</v>
      </c>
      <c r="C546" t="s">
        <v>33</v>
      </c>
      <c r="D546" t="s">
        <v>14</v>
      </c>
      <c r="E546">
        <v>6</v>
      </c>
    </row>
    <row r="547" spans="1:5">
      <c r="A547" t="s">
        <v>601</v>
      </c>
      <c r="B547" s="1">
        <v>45988</v>
      </c>
      <c r="C547" t="s">
        <v>33</v>
      </c>
      <c r="D547" t="s">
        <v>17</v>
      </c>
      <c r="E547">
        <v>10</v>
      </c>
    </row>
    <row r="548" spans="1:5">
      <c r="A548" t="s">
        <v>602</v>
      </c>
      <c r="B548" s="1">
        <v>45988</v>
      </c>
      <c r="C548" t="s">
        <v>41</v>
      </c>
      <c r="D548" t="s">
        <v>19</v>
      </c>
      <c r="E548">
        <v>3</v>
      </c>
    </row>
    <row r="549" spans="1:5">
      <c r="A549" t="s">
        <v>603</v>
      </c>
      <c r="B549" s="1">
        <v>45988</v>
      </c>
      <c r="C549" t="s">
        <v>33</v>
      </c>
      <c r="D549" t="s">
        <v>21</v>
      </c>
      <c r="E549">
        <v>10</v>
      </c>
    </row>
    <row r="550" spans="1:5">
      <c r="A550" t="s">
        <v>604</v>
      </c>
      <c r="B550" s="1">
        <v>45993</v>
      </c>
      <c r="C550" t="s">
        <v>37</v>
      </c>
      <c r="D550" t="s">
        <v>10</v>
      </c>
      <c r="E550">
        <v>6</v>
      </c>
    </row>
    <row r="551" spans="1:5">
      <c r="A551" t="s">
        <v>605</v>
      </c>
      <c r="B551" s="1">
        <v>45994</v>
      </c>
      <c r="C551" t="s">
        <v>37</v>
      </c>
      <c r="D551" t="s">
        <v>10</v>
      </c>
      <c r="E551">
        <v>8</v>
      </c>
    </row>
    <row r="552" spans="1:5">
      <c r="A552" t="s">
        <v>606</v>
      </c>
      <c r="B552" s="1">
        <v>45995</v>
      </c>
      <c r="C552" t="s">
        <v>49</v>
      </c>
      <c r="D552" t="s">
        <v>26</v>
      </c>
      <c r="E552">
        <v>7</v>
      </c>
    </row>
    <row r="553" spans="1:5">
      <c r="A553" t="s">
        <v>607</v>
      </c>
      <c r="B553" s="1">
        <v>45995</v>
      </c>
      <c r="C553" t="s">
        <v>33</v>
      </c>
      <c r="D553" t="s">
        <v>19</v>
      </c>
      <c r="E553">
        <v>10</v>
      </c>
    </row>
    <row r="554" spans="1:5">
      <c r="A554" t="s">
        <v>608</v>
      </c>
      <c r="B554" s="1">
        <v>45995</v>
      </c>
      <c r="C554" t="s">
        <v>33</v>
      </c>
      <c r="D554" t="s">
        <v>12</v>
      </c>
      <c r="E554">
        <v>5</v>
      </c>
    </row>
    <row r="555" spans="1:5">
      <c r="A555" t="s">
        <v>609</v>
      </c>
      <c r="B555" s="1">
        <v>45996</v>
      </c>
      <c r="C555" t="s">
        <v>49</v>
      </c>
      <c r="D555" t="s">
        <v>10</v>
      </c>
      <c r="E555">
        <v>5</v>
      </c>
    </row>
    <row r="556" spans="1:5">
      <c r="A556" t="s">
        <v>610</v>
      </c>
      <c r="B556" s="1">
        <v>45997</v>
      </c>
      <c r="C556" t="s">
        <v>41</v>
      </c>
      <c r="D556" t="s">
        <v>10</v>
      </c>
      <c r="E556">
        <v>2</v>
      </c>
    </row>
    <row r="557" spans="1:5">
      <c r="A557" t="s">
        <v>611</v>
      </c>
      <c r="B557" s="1">
        <v>45997</v>
      </c>
      <c r="C557" t="s">
        <v>33</v>
      </c>
      <c r="D557" t="s">
        <v>19</v>
      </c>
      <c r="E557">
        <v>4</v>
      </c>
    </row>
    <row r="558" spans="1:5">
      <c r="A558" t="s">
        <v>612</v>
      </c>
      <c r="B558" s="1">
        <v>45997</v>
      </c>
      <c r="C558" t="s">
        <v>45</v>
      </c>
      <c r="D558" t="s">
        <v>21</v>
      </c>
      <c r="E558">
        <v>6</v>
      </c>
    </row>
    <row r="559" spans="1:5">
      <c r="A559" t="s">
        <v>613</v>
      </c>
      <c r="B559" s="1">
        <v>45997</v>
      </c>
      <c r="C559" t="s">
        <v>49</v>
      </c>
      <c r="D559" t="s">
        <v>14</v>
      </c>
      <c r="E559">
        <v>6</v>
      </c>
    </row>
    <row r="560" spans="1:5">
      <c r="A560" t="s">
        <v>614</v>
      </c>
      <c r="B560" s="1">
        <v>45998</v>
      </c>
      <c r="C560" t="s">
        <v>33</v>
      </c>
      <c r="D560" t="s">
        <v>26</v>
      </c>
      <c r="E560">
        <v>5</v>
      </c>
    </row>
    <row r="561" spans="1:5">
      <c r="A561" t="s">
        <v>615</v>
      </c>
      <c r="B561" s="1">
        <v>45999</v>
      </c>
      <c r="C561" t="s">
        <v>37</v>
      </c>
      <c r="D561" t="s">
        <v>26</v>
      </c>
      <c r="E561">
        <v>7</v>
      </c>
    </row>
    <row r="562" spans="1:5">
      <c r="A562" t="s">
        <v>616</v>
      </c>
      <c r="B562" s="1">
        <v>45999</v>
      </c>
      <c r="C562" t="s">
        <v>37</v>
      </c>
      <c r="D562" t="s">
        <v>12</v>
      </c>
      <c r="E562">
        <v>2</v>
      </c>
    </row>
    <row r="563" spans="1:5">
      <c r="A563" t="s">
        <v>617</v>
      </c>
      <c r="B563" s="1">
        <v>45999</v>
      </c>
      <c r="C563" t="s">
        <v>49</v>
      </c>
      <c r="D563" t="s">
        <v>8</v>
      </c>
      <c r="E563">
        <v>8</v>
      </c>
    </row>
    <row r="564" spans="1:5">
      <c r="A564" t="s">
        <v>618</v>
      </c>
      <c r="B564" s="1">
        <v>45999</v>
      </c>
      <c r="C564" t="s">
        <v>49</v>
      </c>
      <c r="D564" t="s">
        <v>14</v>
      </c>
      <c r="E564">
        <v>1</v>
      </c>
    </row>
    <row r="565" spans="1:5">
      <c r="A565" t="s">
        <v>619</v>
      </c>
      <c r="B565" s="1">
        <v>46000</v>
      </c>
      <c r="C565" t="s">
        <v>33</v>
      </c>
      <c r="D565" t="s">
        <v>17</v>
      </c>
      <c r="E565">
        <v>6</v>
      </c>
    </row>
    <row r="566" spans="1:5">
      <c r="A566" t="s">
        <v>620</v>
      </c>
      <c r="B566" s="1">
        <v>46001</v>
      </c>
      <c r="C566" t="s">
        <v>33</v>
      </c>
      <c r="D566" t="s">
        <v>19</v>
      </c>
      <c r="E566">
        <v>3</v>
      </c>
    </row>
    <row r="567" spans="1:5">
      <c r="A567" t="s">
        <v>621</v>
      </c>
      <c r="B567" s="1">
        <v>46001</v>
      </c>
      <c r="C567" t="s">
        <v>33</v>
      </c>
      <c r="D567" t="s">
        <v>8</v>
      </c>
      <c r="E567">
        <v>9</v>
      </c>
    </row>
    <row r="568" spans="1:5">
      <c r="A568" t="s">
        <v>622</v>
      </c>
      <c r="B568" s="1">
        <v>46002</v>
      </c>
      <c r="C568" t="s">
        <v>49</v>
      </c>
      <c r="D568" t="s">
        <v>12</v>
      </c>
      <c r="E568">
        <v>3</v>
      </c>
    </row>
    <row r="569" spans="1:5">
      <c r="A569" t="s">
        <v>623</v>
      </c>
      <c r="B569" s="1">
        <v>46002</v>
      </c>
      <c r="C569" t="s">
        <v>49</v>
      </c>
      <c r="D569" t="s">
        <v>24</v>
      </c>
      <c r="E569">
        <v>1</v>
      </c>
    </row>
    <row r="570" spans="1:5">
      <c r="A570" t="s">
        <v>624</v>
      </c>
      <c r="B570" s="1">
        <v>46003</v>
      </c>
      <c r="C570" t="s">
        <v>45</v>
      </c>
      <c r="D570" t="s">
        <v>19</v>
      </c>
      <c r="E570">
        <v>4</v>
      </c>
    </row>
    <row r="571" spans="1:5">
      <c r="A571" t="s">
        <v>625</v>
      </c>
      <c r="B571" s="1">
        <v>46003</v>
      </c>
      <c r="C571" t="s">
        <v>45</v>
      </c>
      <c r="D571" t="s">
        <v>8</v>
      </c>
      <c r="E571">
        <v>6</v>
      </c>
    </row>
    <row r="572" spans="1:5">
      <c r="A572" t="s">
        <v>626</v>
      </c>
      <c r="B572" s="1">
        <v>46003</v>
      </c>
      <c r="C572" t="s">
        <v>45</v>
      </c>
      <c r="D572" t="s">
        <v>19</v>
      </c>
      <c r="E572">
        <v>8</v>
      </c>
    </row>
    <row r="573" spans="1:5">
      <c r="A573" t="s">
        <v>627</v>
      </c>
      <c r="B573" s="1">
        <v>46003</v>
      </c>
      <c r="C573" t="s">
        <v>33</v>
      </c>
      <c r="D573" t="s">
        <v>24</v>
      </c>
      <c r="E573">
        <v>9</v>
      </c>
    </row>
    <row r="574" spans="1:5">
      <c r="A574" t="s">
        <v>628</v>
      </c>
      <c r="B574" s="1">
        <v>46003</v>
      </c>
      <c r="C574" t="s">
        <v>45</v>
      </c>
      <c r="D574" t="s">
        <v>5</v>
      </c>
      <c r="E574">
        <v>1</v>
      </c>
    </row>
    <row r="575" spans="1:5">
      <c r="A575" t="s">
        <v>629</v>
      </c>
      <c r="B575" s="1">
        <v>46005</v>
      </c>
      <c r="C575" t="s">
        <v>33</v>
      </c>
      <c r="D575" t="s">
        <v>19</v>
      </c>
      <c r="E575">
        <v>1</v>
      </c>
    </row>
    <row r="576" spans="1:5">
      <c r="A576" t="s">
        <v>630</v>
      </c>
      <c r="B576" s="1">
        <v>46006</v>
      </c>
      <c r="C576" t="s">
        <v>45</v>
      </c>
      <c r="D576" t="s">
        <v>21</v>
      </c>
      <c r="E576">
        <v>9</v>
      </c>
    </row>
    <row r="577" spans="1:5">
      <c r="A577" t="s">
        <v>631</v>
      </c>
      <c r="B577" s="1">
        <v>46006</v>
      </c>
      <c r="C577" t="s">
        <v>33</v>
      </c>
      <c r="D577" t="s">
        <v>19</v>
      </c>
      <c r="E577">
        <v>3</v>
      </c>
    </row>
    <row r="578" spans="1:5">
      <c r="A578" t="s">
        <v>632</v>
      </c>
      <c r="B578" s="1">
        <v>46006</v>
      </c>
      <c r="C578" t="s">
        <v>49</v>
      </c>
      <c r="D578" t="s">
        <v>21</v>
      </c>
      <c r="E578">
        <v>9</v>
      </c>
    </row>
    <row r="579" spans="1:5">
      <c r="A579" t="s">
        <v>633</v>
      </c>
      <c r="B579" s="1">
        <v>46006</v>
      </c>
      <c r="C579" t="s">
        <v>37</v>
      </c>
      <c r="D579" t="s">
        <v>5</v>
      </c>
      <c r="E579">
        <v>6</v>
      </c>
    </row>
    <row r="580" spans="1:5">
      <c r="A580" t="s">
        <v>634</v>
      </c>
      <c r="B580" s="1">
        <v>46006</v>
      </c>
      <c r="C580" t="s">
        <v>49</v>
      </c>
      <c r="D580" t="s">
        <v>17</v>
      </c>
      <c r="E580">
        <v>3</v>
      </c>
    </row>
    <row r="581" spans="1:5">
      <c r="A581" t="s">
        <v>635</v>
      </c>
      <c r="B581" s="1">
        <v>46007</v>
      </c>
      <c r="C581" t="s">
        <v>45</v>
      </c>
      <c r="D581" t="s">
        <v>14</v>
      </c>
      <c r="E581">
        <v>2</v>
      </c>
    </row>
    <row r="582" spans="1:5">
      <c r="A582" t="s">
        <v>636</v>
      </c>
      <c r="B582" s="1">
        <v>46008</v>
      </c>
      <c r="C582" t="s">
        <v>33</v>
      </c>
      <c r="D582" t="s">
        <v>26</v>
      </c>
      <c r="E582">
        <v>9</v>
      </c>
    </row>
    <row r="583" spans="1:5">
      <c r="A583" t="s">
        <v>637</v>
      </c>
      <c r="B583" s="1">
        <v>46009</v>
      </c>
      <c r="C583" t="s">
        <v>49</v>
      </c>
      <c r="D583" t="s">
        <v>5</v>
      </c>
      <c r="E583">
        <v>7</v>
      </c>
    </row>
    <row r="584" spans="1:5">
      <c r="A584" t="s">
        <v>638</v>
      </c>
      <c r="B584" s="1">
        <v>46009</v>
      </c>
      <c r="C584" t="s">
        <v>37</v>
      </c>
      <c r="D584" t="s">
        <v>26</v>
      </c>
      <c r="E584">
        <v>5</v>
      </c>
    </row>
    <row r="585" spans="1:5">
      <c r="A585" t="s">
        <v>639</v>
      </c>
      <c r="B585" s="1">
        <v>46011</v>
      </c>
      <c r="C585" t="s">
        <v>49</v>
      </c>
      <c r="D585" t="s">
        <v>8</v>
      </c>
      <c r="E585">
        <v>4</v>
      </c>
    </row>
    <row r="586" spans="1:5">
      <c r="A586" t="s">
        <v>640</v>
      </c>
      <c r="B586" s="1">
        <v>46012</v>
      </c>
      <c r="C586" t="s">
        <v>37</v>
      </c>
      <c r="D586" t="s">
        <v>24</v>
      </c>
      <c r="E586">
        <v>7</v>
      </c>
    </row>
    <row r="587" spans="1:5">
      <c r="A587" t="s">
        <v>641</v>
      </c>
      <c r="B587" s="1">
        <v>46012</v>
      </c>
      <c r="C587" t="s">
        <v>37</v>
      </c>
      <c r="D587" t="s">
        <v>21</v>
      </c>
      <c r="E587">
        <v>7</v>
      </c>
    </row>
    <row r="588" spans="1:5">
      <c r="A588" t="s">
        <v>642</v>
      </c>
      <c r="B588" s="1">
        <v>46012</v>
      </c>
      <c r="C588" t="s">
        <v>49</v>
      </c>
      <c r="D588" t="s">
        <v>21</v>
      </c>
      <c r="E588">
        <v>7</v>
      </c>
    </row>
    <row r="589" spans="1:5">
      <c r="A589" t="s">
        <v>643</v>
      </c>
      <c r="B589" s="1">
        <v>46014</v>
      </c>
      <c r="C589" t="s">
        <v>49</v>
      </c>
      <c r="D589" t="s">
        <v>5</v>
      </c>
      <c r="E589">
        <v>3</v>
      </c>
    </row>
    <row r="590" spans="1:5">
      <c r="A590" t="s">
        <v>644</v>
      </c>
      <c r="B590" s="1">
        <v>46014</v>
      </c>
      <c r="C590" t="s">
        <v>41</v>
      </c>
      <c r="D590" t="s">
        <v>14</v>
      </c>
      <c r="E590">
        <v>3</v>
      </c>
    </row>
    <row r="591" spans="1:5">
      <c r="A591" t="s">
        <v>645</v>
      </c>
      <c r="B591" s="1">
        <v>46016</v>
      </c>
      <c r="C591" t="s">
        <v>49</v>
      </c>
      <c r="D591" t="s">
        <v>21</v>
      </c>
      <c r="E591">
        <v>8</v>
      </c>
    </row>
    <row r="592" spans="1:5">
      <c r="A592" t="s">
        <v>646</v>
      </c>
      <c r="B592" s="1">
        <v>46016</v>
      </c>
      <c r="C592" t="s">
        <v>45</v>
      </c>
      <c r="D592" t="s">
        <v>5</v>
      </c>
      <c r="E592">
        <v>2</v>
      </c>
    </row>
    <row r="593" spans="1:5">
      <c r="A593" t="s">
        <v>647</v>
      </c>
      <c r="B593" s="1">
        <v>46017</v>
      </c>
      <c r="C593" t="s">
        <v>49</v>
      </c>
      <c r="D593" t="s">
        <v>8</v>
      </c>
      <c r="E593">
        <v>6</v>
      </c>
    </row>
    <row r="594" spans="1:5">
      <c r="A594" t="s">
        <v>648</v>
      </c>
      <c r="B594" s="1">
        <v>46017</v>
      </c>
      <c r="C594" t="s">
        <v>33</v>
      </c>
      <c r="D594" t="s">
        <v>21</v>
      </c>
      <c r="E594">
        <v>6</v>
      </c>
    </row>
    <row r="595" spans="1:5">
      <c r="A595" t="s">
        <v>649</v>
      </c>
      <c r="B595" s="1">
        <v>46017</v>
      </c>
      <c r="C595" t="s">
        <v>33</v>
      </c>
      <c r="D595" t="s">
        <v>10</v>
      </c>
      <c r="E595">
        <v>9</v>
      </c>
    </row>
    <row r="596" spans="1:5">
      <c r="A596" t="s">
        <v>650</v>
      </c>
      <c r="B596" s="1">
        <v>46017</v>
      </c>
      <c r="C596" t="s">
        <v>49</v>
      </c>
      <c r="D596" t="s">
        <v>17</v>
      </c>
      <c r="E596">
        <v>10</v>
      </c>
    </row>
    <row r="597" spans="1:5">
      <c r="A597" t="s">
        <v>651</v>
      </c>
      <c r="B597" s="1">
        <v>46017</v>
      </c>
      <c r="C597" t="s">
        <v>33</v>
      </c>
      <c r="D597" t="s">
        <v>5</v>
      </c>
      <c r="E597">
        <v>9</v>
      </c>
    </row>
    <row r="598" spans="1:5">
      <c r="A598" t="s">
        <v>652</v>
      </c>
      <c r="B598" s="1">
        <v>46018</v>
      </c>
      <c r="C598" t="s">
        <v>49</v>
      </c>
      <c r="D598" t="s">
        <v>5</v>
      </c>
      <c r="E598">
        <v>5</v>
      </c>
    </row>
    <row r="599" spans="1:5">
      <c r="A599" t="s">
        <v>653</v>
      </c>
      <c r="B599" s="1">
        <v>46021</v>
      </c>
      <c r="C599" t="s">
        <v>37</v>
      </c>
      <c r="D599" t="s">
        <v>24</v>
      </c>
      <c r="E599">
        <v>3</v>
      </c>
    </row>
    <row r="600" spans="1:5">
      <c r="A600" t="s">
        <v>654</v>
      </c>
      <c r="B600" s="1">
        <v>46022</v>
      </c>
      <c r="C600" t="s">
        <v>49</v>
      </c>
      <c r="D600" t="s">
        <v>19</v>
      </c>
      <c r="E600">
        <v>2</v>
      </c>
    </row>
    <row r="601" spans="1:5">
      <c r="A601" t="s">
        <v>655</v>
      </c>
      <c r="B601" s="1">
        <v>46022</v>
      </c>
      <c r="C601" t="s">
        <v>33</v>
      </c>
      <c r="D601" t="s">
        <v>10</v>
      </c>
      <c r="E601">
        <v>10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90FC-673D-4FBA-A53A-55A7D5AD9EB1}">
  <dimension ref="A1:M601"/>
  <sheetViews>
    <sheetView topLeftCell="D1" workbookViewId="0">
      <selection activeCell="N22" sqref="N22"/>
    </sheetView>
  </sheetViews>
  <sheetFormatPr defaultRowHeight="15"/>
  <cols>
    <col min="1" max="1" width="10.5703125" customWidth="1"/>
    <col min="2" max="2" width="12.85546875" customWidth="1"/>
    <col min="4" max="4" width="12.28515625" customWidth="1"/>
    <col min="5" max="5" width="10.85546875" customWidth="1"/>
    <col min="6" max="6" width="16" bestFit="1" customWidth="1"/>
    <col min="7" max="7" width="13.85546875" bestFit="1" customWidth="1"/>
    <col min="8" max="8" width="12" style="2" bestFit="1" customWidth="1"/>
    <col min="9" max="9" width="11.42578125" style="2" bestFit="1" customWidth="1"/>
    <col min="10" max="10" width="11.7109375" bestFit="1" customWidth="1"/>
    <col min="11" max="11" width="11.42578125" bestFit="1" customWidth="1"/>
    <col min="12" max="12" width="12.7109375" style="2" bestFit="1" customWidth="1"/>
    <col min="13" max="13" width="9.140625" style="2"/>
  </cols>
  <sheetData>
    <row r="1" spans="1:13">
      <c r="A1" t="s">
        <v>53</v>
      </c>
      <c r="B1" t="s">
        <v>54</v>
      </c>
      <c r="C1" t="s">
        <v>28</v>
      </c>
      <c r="D1" t="s">
        <v>0</v>
      </c>
      <c r="E1" t="s">
        <v>55</v>
      </c>
      <c r="F1" t="s">
        <v>1</v>
      </c>
      <c r="G1" t="s">
        <v>2</v>
      </c>
      <c r="H1" s="2" t="s">
        <v>3</v>
      </c>
      <c r="I1" s="2" t="s">
        <v>4</v>
      </c>
      <c r="J1" t="s">
        <v>29</v>
      </c>
      <c r="K1" t="s">
        <v>30</v>
      </c>
      <c r="L1" s="2" t="s">
        <v>656</v>
      </c>
      <c r="M1" s="2" t="s">
        <v>657</v>
      </c>
    </row>
    <row r="2" spans="1:13">
      <c r="A2" t="s">
        <v>56</v>
      </c>
      <c r="B2" s="1">
        <v>45658</v>
      </c>
      <c r="C2" t="s">
        <v>49</v>
      </c>
      <c r="D2" t="s">
        <v>10</v>
      </c>
      <c r="E2">
        <v>9</v>
      </c>
      <c r="F2" t="str">
        <f>_xlfn.XLOOKUP(tblAnalysis[[#This Row],[Product ID]], tblProducts[Product ID], tblProducts[Product Name])</f>
        <v>Keyboard</v>
      </c>
      <c r="G2" t="str">
        <f>_xlfn.XLOOKUP(tblAnalysis[[#This Row],[Product ID]], tblProducts[Product ID], tblProducts[Category])</f>
        <v>Electronics</v>
      </c>
      <c r="H2" s="22">
        <f>_xlfn.XLOOKUP(tblAnalysis[[#This Row],[Product ID]], tblProducts[Product ID], tblProducts[Unit Price])</f>
        <v>40</v>
      </c>
      <c r="I2" s="22">
        <f>_xlfn.XLOOKUP(tblAnalysis[[#This Row],[Product ID]], tblProducts[Product ID], tblProducts[Unit Cost])</f>
        <v>22</v>
      </c>
      <c r="J2" t="str">
        <f>_xlfn.XLOOKUP(tblAnalysis[[#This Row],[Rep ID]], tblReps[Rep ID], tblReps[Sales Rep])</f>
        <v>Emma</v>
      </c>
      <c r="K2" t="str">
        <f>_xlfn.XLOOKUP(tblAnalysis[[#This Row],[Rep ID]], tblReps[Rep ID], tblReps[Region])</f>
        <v>Miami</v>
      </c>
      <c r="L2" s="22">
        <f>tblAnalysis[[#This Row],[Quantity]]*tblAnalysis[[#This Row],[Unit Price]]</f>
        <v>360</v>
      </c>
      <c r="M2" s="22">
        <f>tblAnalysis[[#This Row],[Quantity]]*(tblAnalysis[[#This Row],[Unit Price]]-tblAnalysis[[#This Row],[Unit Cost]])</f>
        <v>162</v>
      </c>
    </row>
    <row r="3" spans="1:13">
      <c r="A3" t="s">
        <v>57</v>
      </c>
      <c r="B3" s="1">
        <v>45659</v>
      </c>
      <c r="C3" t="s">
        <v>49</v>
      </c>
      <c r="D3" t="s">
        <v>8</v>
      </c>
      <c r="E3">
        <v>3</v>
      </c>
      <c r="F3" t="str">
        <f>_xlfn.XLOOKUP(tblAnalysis[[#This Row],[Product ID]], tblProducts[Product ID], tblProducts[Product Name])</f>
        <v>Mouse</v>
      </c>
      <c r="G3" t="str">
        <f>_xlfn.XLOOKUP(tblAnalysis[[#This Row],[Product ID]], tblProducts[Product ID], tblProducts[Category])</f>
        <v>Electronics</v>
      </c>
      <c r="H3" s="22">
        <f>_xlfn.XLOOKUP(tblAnalysis[[#This Row],[Product ID]], tblProducts[Product ID], tblProducts[Unit Price])</f>
        <v>25</v>
      </c>
      <c r="I3" s="22">
        <f>_xlfn.XLOOKUP(tblAnalysis[[#This Row],[Product ID]], tblProducts[Product ID], tblProducts[Unit Cost])</f>
        <v>12</v>
      </c>
      <c r="J3" t="str">
        <f>_xlfn.XLOOKUP(tblAnalysis[[#This Row],[Rep ID]], tblReps[Rep ID], tblReps[Sales Rep])</f>
        <v>Emma</v>
      </c>
      <c r="K3" t="str">
        <f>_xlfn.XLOOKUP(tblAnalysis[[#This Row],[Rep ID]], tblReps[Rep ID], tblReps[Region])</f>
        <v>Miami</v>
      </c>
      <c r="L3" s="22">
        <f>tblAnalysis[[#This Row],[Quantity]]*tblAnalysis[[#This Row],[Unit Price]]</f>
        <v>75</v>
      </c>
      <c r="M3" s="22">
        <f>tblAnalysis[[#This Row],[Quantity]]*(tblAnalysis[[#This Row],[Unit Price]]-tblAnalysis[[#This Row],[Unit Cost]])</f>
        <v>39</v>
      </c>
    </row>
    <row r="4" spans="1:13">
      <c r="A4" t="s">
        <v>58</v>
      </c>
      <c r="B4" s="1">
        <v>45659</v>
      </c>
      <c r="C4" t="s">
        <v>49</v>
      </c>
      <c r="D4" t="s">
        <v>26</v>
      </c>
      <c r="E4">
        <v>2</v>
      </c>
      <c r="F4" t="str">
        <f>_xlfn.XLOOKUP(tblAnalysis[[#This Row],[Product ID]], tblProducts[Product ID], tblProducts[Product Name])</f>
        <v>Shoes</v>
      </c>
      <c r="G4" t="str">
        <f>_xlfn.XLOOKUP(tblAnalysis[[#This Row],[Product ID]], tblProducts[Product ID], tblProducts[Category])</f>
        <v>Fashion</v>
      </c>
      <c r="H4" s="22">
        <f>_xlfn.XLOOKUP(tblAnalysis[[#This Row],[Product ID]], tblProducts[Product ID], tblProducts[Unit Price])</f>
        <v>75</v>
      </c>
      <c r="I4" s="22">
        <f>_xlfn.XLOOKUP(tblAnalysis[[#This Row],[Product ID]], tblProducts[Product ID], tblProducts[Unit Cost])</f>
        <v>40</v>
      </c>
      <c r="J4" t="str">
        <f>_xlfn.XLOOKUP(tblAnalysis[[#This Row],[Rep ID]], tblReps[Rep ID], tblReps[Sales Rep])</f>
        <v>Emma</v>
      </c>
      <c r="K4" t="str">
        <f>_xlfn.XLOOKUP(tblAnalysis[[#This Row],[Rep ID]], tblReps[Rep ID], tblReps[Region])</f>
        <v>Miami</v>
      </c>
      <c r="L4" s="22">
        <f>tblAnalysis[[#This Row],[Quantity]]*tblAnalysis[[#This Row],[Unit Price]]</f>
        <v>150</v>
      </c>
      <c r="M4" s="22">
        <f>tblAnalysis[[#This Row],[Quantity]]*(tblAnalysis[[#This Row],[Unit Price]]-tblAnalysis[[#This Row],[Unit Cost]])</f>
        <v>70</v>
      </c>
    </row>
    <row r="5" spans="1:13">
      <c r="A5" t="s">
        <v>59</v>
      </c>
      <c r="B5" s="1">
        <v>45659</v>
      </c>
      <c r="C5" t="s">
        <v>37</v>
      </c>
      <c r="D5" t="s">
        <v>21</v>
      </c>
      <c r="E5">
        <v>7</v>
      </c>
      <c r="F5" t="str">
        <f>_xlfn.XLOOKUP(tblAnalysis[[#This Row],[Product ID]], tblProducts[Product ID], tblProducts[Product Name])</f>
        <v>T-Shirt</v>
      </c>
      <c r="G5" t="str">
        <f>_xlfn.XLOOKUP(tblAnalysis[[#This Row],[Product ID]], tblProducts[Product ID], tblProducts[Category])</f>
        <v>Fashion</v>
      </c>
      <c r="H5" s="22">
        <f>_xlfn.XLOOKUP(tblAnalysis[[#This Row],[Product ID]], tblProducts[Product ID], tblProducts[Unit Price])</f>
        <v>20</v>
      </c>
      <c r="I5" s="22">
        <f>_xlfn.XLOOKUP(tblAnalysis[[#This Row],[Product ID]], tblProducts[Product ID], tblProducts[Unit Cost])</f>
        <v>8</v>
      </c>
      <c r="J5" t="str">
        <f>_xlfn.XLOOKUP(tblAnalysis[[#This Row],[Rep ID]], tblReps[Rep ID], tblReps[Sales Rep])</f>
        <v>Mike</v>
      </c>
      <c r="K5" t="str">
        <f>_xlfn.XLOOKUP(tblAnalysis[[#This Row],[Rep ID]], tblReps[Rep ID], tblReps[Region])</f>
        <v>Los Angeles</v>
      </c>
      <c r="L5" s="22">
        <f>tblAnalysis[[#This Row],[Quantity]]*tblAnalysis[[#This Row],[Unit Price]]</f>
        <v>140</v>
      </c>
      <c r="M5" s="22">
        <f>tblAnalysis[[#This Row],[Quantity]]*(tblAnalysis[[#This Row],[Unit Price]]-tblAnalysis[[#This Row],[Unit Cost]])</f>
        <v>84</v>
      </c>
    </row>
    <row r="6" spans="1:13">
      <c r="A6" t="s">
        <v>60</v>
      </c>
      <c r="B6" s="1">
        <v>45661</v>
      </c>
      <c r="C6" t="s">
        <v>33</v>
      </c>
      <c r="D6" t="s">
        <v>17</v>
      </c>
      <c r="E6">
        <v>9</v>
      </c>
      <c r="F6" t="str">
        <f>_xlfn.XLOOKUP(tblAnalysis[[#This Row],[Product ID]], tblProducts[Product ID], tblProducts[Product Name])</f>
        <v>Iron</v>
      </c>
      <c r="G6" t="str">
        <f>_xlfn.XLOOKUP(tblAnalysis[[#This Row],[Product ID]], tblProducts[Product ID], tblProducts[Category])</f>
        <v>Home &amp; Living</v>
      </c>
      <c r="H6" s="22">
        <f>_xlfn.XLOOKUP(tblAnalysis[[#This Row],[Product ID]], tblProducts[Product ID], tblProducts[Unit Price])</f>
        <v>35</v>
      </c>
      <c r="I6" s="22">
        <f>_xlfn.XLOOKUP(tblAnalysis[[#This Row],[Product ID]], tblProducts[Product ID], tblProducts[Unit Cost])</f>
        <v>20</v>
      </c>
      <c r="J6" t="str">
        <f>_xlfn.XLOOKUP(tblAnalysis[[#This Row],[Rep ID]], tblReps[Rep ID], tblReps[Sales Rep])</f>
        <v>John</v>
      </c>
      <c r="K6" t="str">
        <f>_xlfn.XLOOKUP(tblAnalysis[[#This Row],[Rep ID]], tblReps[Rep ID], tblReps[Region])</f>
        <v>New York</v>
      </c>
      <c r="L6" s="22">
        <f>tblAnalysis[[#This Row],[Quantity]]*tblAnalysis[[#This Row],[Unit Price]]</f>
        <v>315</v>
      </c>
      <c r="M6" s="22">
        <f>tblAnalysis[[#This Row],[Quantity]]*(tblAnalysis[[#This Row],[Unit Price]]-tblAnalysis[[#This Row],[Unit Cost]])</f>
        <v>135</v>
      </c>
    </row>
    <row r="7" spans="1:13">
      <c r="A7" t="s">
        <v>61</v>
      </c>
      <c r="B7" s="1">
        <v>45661</v>
      </c>
      <c r="C7" t="s">
        <v>45</v>
      </c>
      <c r="D7" t="s">
        <v>19</v>
      </c>
      <c r="E7">
        <v>1</v>
      </c>
      <c r="F7" t="str">
        <f>_xlfn.XLOOKUP(tblAnalysis[[#This Row],[Product ID]], tblProducts[Product ID], tblProducts[Product Name])</f>
        <v>Fan</v>
      </c>
      <c r="G7" t="str">
        <f>_xlfn.XLOOKUP(tblAnalysis[[#This Row],[Product ID]], tblProducts[Product ID], tblProducts[Category])</f>
        <v>Home &amp; Living</v>
      </c>
      <c r="H7" s="22">
        <f>_xlfn.XLOOKUP(tblAnalysis[[#This Row],[Product ID]], tblProducts[Product ID], tblProducts[Unit Price])</f>
        <v>45</v>
      </c>
      <c r="I7" s="22">
        <f>_xlfn.XLOOKUP(tblAnalysis[[#This Row],[Product ID]], tblProducts[Product ID], tblProducts[Unit Cost])</f>
        <v>25</v>
      </c>
      <c r="J7" t="str">
        <f>_xlfn.XLOOKUP(tblAnalysis[[#This Row],[Rep ID]], tblReps[Rep ID], tblReps[Sales Rep])</f>
        <v>David</v>
      </c>
      <c r="K7" t="str">
        <f>_xlfn.XLOOKUP(tblAnalysis[[#This Row],[Rep ID]], tblReps[Rep ID], tblReps[Region])</f>
        <v>Houston</v>
      </c>
      <c r="L7" s="22">
        <f>tblAnalysis[[#This Row],[Quantity]]*tblAnalysis[[#This Row],[Unit Price]]</f>
        <v>45</v>
      </c>
      <c r="M7" s="22">
        <f>tblAnalysis[[#This Row],[Quantity]]*(tblAnalysis[[#This Row],[Unit Price]]-tblAnalysis[[#This Row],[Unit Cost]])</f>
        <v>20</v>
      </c>
    </row>
    <row r="8" spans="1:13">
      <c r="A8" t="s">
        <v>62</v>
      </c>
      <c r="B8" s="1">
        <v>45662</v>
      </c>
      <c r="C8" t="s">
        <v>41</v>
      </c>
      <c r="D8" t="s">
        <v>17</v>
      </c>
      <c r="E8">
        <v>1</v>
      </c>
      <c r="F8" t="str">
        <f>_xlfn.XLOOKUP(tblAnalysis[[#This Row],[Product ID]], tblProducts[Product ID], tblProducts[Product Name])</f>
        <v>Iron</v>
      </c>
      <c r="G8" t="str">
        <f>_xlfn.XLOOKUP(tblAnalysis[[#This Row],[Product ID]], tblProducts[Product ID], tblProducts[Category])</f>
        <v>Home &amp; Living</v>
      </c>
      <c r="H8" s="22">
        <f>_xlfn.XLOOKUP(tblAnalysis[[#This Row],[Product ID]], tblProducts[Product ID], tblProducts[Unit Price])</f>
        <v>35</v>
      </c>
      <c r="I8" s="22">
        <f>_xlfn.XLOOKUP(tblAnalysis[[#This Row],[Product ID]], tblProducts[Product ID], tblProducts[Unit Cost])</f>
        <v>20</v>
      </c>
      <c r="J8" t="str">
        <f>_xlfn.XLOOKUP(tblAnalysis[[#This Row],[Rep ID]], tblReps[Rep ID], tblReps[Sales Rep])</f>
        <v>Sarah</v>
      </c>
      <c r="K8" t="str">
        <f>_xlfn.XLOOKUP(tblAnalysis[[#This Row],[Rep ID]], tblReps[Rep ID], tblReps[Region])</f>
        <v>Chicago</v>
      </c>
      <c r="L8" s="22">
        <f>tblAnalysis[[#This Row],[Quantity]]*tblAnalysis[[#This Row],[Unit Price]]</f>
        <v>35</v>
      </c>
      <c r="M8" s="22">
        <f>tblAnalysis[[#This Row],[Quantity]]*(tblAnalysis[[#This Row],[Unit Price]]-tblAnalysis[[#This Row],[Unit Cost]])</f>
        <v>15</v>
      </c>
    </row>
    <row r="9" spans="1:13">
      <c r="A9" t="s">
        <v>63</v>
      </c>
      <c r="B9" s="1">
        <v>45662</v>
      </c>
      <c r="C9" t="s">
        <v>49</v>
      </c>
      <c r="D9" t="s">
        <v>12</v>
      </c>
      <c r="E9">
        <v>10</v>
      </c>
      <c r="F9" t="str">
        <f>_xlfn.XLOOKUP(tblAnalysis[[#This Row],[Product ID]], tblProducts[Product ID], tblProducts[Product Name])</f>
        <v>Webcam</v>
      </c>
      <c r="G9" t="str">
        <f>_xlfn.XLOOKUP(tblAnalysis[[#This Row],[Product ID]], tblProducts[Product ID], tblProducts[Category])</f>
        <v>Electronics</v>
      </c>
      <c r="H9" s="22">
        <f>_xlfn.XLOOKUP(tblAnalysis[[#This Row],[Product ID]], tblProducts[Product ID], tblProducts[Unit Price])</f>
        <v>60</v>
      </c>
      <c r="I9" s="22">
        <f>_xlfn.XLOOKUP(tblAnalysis[[#This Row],[Product ID]], tblProducts[Product ID], tblProducts[Unit Cost])</f>
        <v>35</v>
      </c>
      <c r="J9" t="str">
        <f>_xlfn.XLOOKUP(tblAnalysis[[#This Row],[Rep ID]], tblReps[Rep ID], tblReps[Sales Rep])</f>
        <v>Emma</v>
      </c>
      <c r="K9" t="str">
        <f>_xlfn.XLOOKUP(tblAnalysis[[#This Row],[Rep ID]], tblReps[Rep ID], tblReps[Region])</f>
        <v>Miami</v>
      </c>
      <c r="L9" s="22">
        <f>tblAnalysis[[#This Row],[Quantity]]*tblAnalysis[[#This Row],[Unit Price]]</f>
        <v>600</v>
      </c>
      <c r="M9" s="22">
        <f>tblAnalysis[[#This Row],[Quantity]]*(tblAnalysis[[#This Row],[Unit Price]]-tblAnalysis[[#This Row],[Unit Cost]])</f>
        <v>250</v>
      </c>
    </row>
    <row r="10" spans="1:13">
      <c r="A10" t="s">
        <v>64</v>
      </c>
      <c r="B10" s="1">
        <v>45663</v>
      </c>
      <c r="C10" t="s">
        <v>41</v>
      </c>
      <c r="D10" t="s">
        <v>24</v>
      </c>
      <c r="E10">
        <v>5</v>
      </c>
      <c r="F10" t="str">
        <f>_xlfn.XLOOKUP(tblAnalysis[[#This Row],[Product ID]], tblProducts[Product ID], tblProducts[Product Name])</f>
        <v>Pants</v>
      </c>
      <c r="G10" t="str">
        <f>_xlfn.XLOOKUP(tblAnalysis[[#This Row],[Product ID]], tblProducts[Product ID], tblProducts[Category])</f>
        <v>Fashion</v>
      </c>
      <c r="H10" s="22">
        <f>_xlfn.XLOOKUP(tblAnalysis[[#This Row],[Product ID]], tblProducts[Product ID], tblProducts[Unit Price])</f>
        <v>40</v>
      </c>
      <c r="I10" s="22">
        <f>_xlfn.XLOOKUP(tblAnalysis[[#This Row],[Product ID]], tblProducts[Product ID], tblProducts[Unit Cost])</f>
        <v>18</v>
      </c>
      <c r="J10" t="str">
        <f>_xlfn.XLOOKUP(tblAnalysis[[#This Row],[Rep ID]], tblReps[Rep ID], tblReps[Sales Rep])</f>
        <v>Sarah</v>
      </c>
      <c r="K10" t="str">
        <f>_xlfn.XLOOKUP(tblAnalysis[[#This Row],[Rep ID]], tblReps[Rep ID], tblReps[Region])</f>
        <v>Chicago</v>
      </c>
      <c r="L10" s="22">
        <f>tblAnalysis[[#This Row],[Quantity]]*tblAnalysis[[#This Row],[Unit Price]]</f>
        <v>200</v>
      </c>
      <c r="M10" s="22">
        <f>tblAnalysis[[#This Row],[Quantity]]*(tblAnalysis[[#This Row],[Unit Price]]-tblAnalysis[[#This Row],[Unit Cost]])</f>
        <v>110</v>
      </c>
    </row>
    <row r="11" spans="1:13">
      <c r="A11" t="s">
        <v>65</v>
      </c>
      <c r="B11" s="1">
        <v>45666</v>
      </c>
      <c r="C11" t="s">
        <v>45</v>
      </c>
      <c r="D11" t="s">
        <v>21</v>
      </c>
      <c r="E11">
        <v>7</v>
      </c>
      <c r="F11" t="str">
        <f>_xlfn.XLOOKUP(tblAnalysis[[#This Row],[Product ID]], tblProducts[Product ID], tblProducts[Product Name])</f>
        <v>T-Shirt</v>
      </c>
      <c r="G11" t="str">
        <f>_xlfn.XLOOKUP(tblAnalysis[[#This Row],[Product ID]], tblProducts[Product ID], tblProducts[Category])</f>
        <v>Fashion</v>
      </c>
      <c r="H11" s="22">
        <f>_xlfn.XLOOKUP(tblAnalysis[[#This Row],[Product ID]], tblProducts[Product ID], tblProducts[Unit Price])</f>
        <v>20</v>
      </c>
      <c r="I11" s="22">
        <f>_xlfn.XLOOKUP(tblAnalysis[[#This Row],[Product ID]], tblProducts[Product ID], tblProducts[Unit Cost])</f>
        <v>8</v>
      </c>
      <c r="J11" t="str">
        <f>_xlfn.XLOOKUP(tblAnalysis[[#This Row],[Rep ID]], tblReps[Rep ID], tblReps[Sales Rep])</f>
        <v>David</v>
      </c>
      <c r="K11" t="str">
        <f>_xlfn.XLOOKUP(tblAnalysis[[#This Row],[Rep ID]], tblReps[Rep ID], tblReps[Region])</f>
        <v>Houston</v>
      </c>
      <c r="L11" s="22">
        <f>tblAnalysis[[#This Row],[Quantity]]*tblAnalysis[[#This Row],[Unit Price]]</f>
        <v>140</v>
      </c>
      <c r="M11" s="22">
        <f>tblAnalysis[[#This Row],[Quantity]]*(tblAnalysis[[#This Row],[Unit Price]]-tblAnalysis[[#This Row],[Unit Cost]])</f>
        <v>84</v>
      </c>
    </row>
    <row r="12" spans="1:13">
      <c r="A12" t="s">
        <v>66</v>
      </c>
      <c r="B12" s="1">
        <v>45666</v>
      </c>
      <c r="C12" t="s">
        <v>45</v>
      </c>
      <c r="D12" t="s">
        <v>24</v>
      </c>
      <c r="E12">
        <v>10</v>
      </c>
      <c r="F12" t="str">
        <f>_xlfn.XLOOKUP(tblAnalysis[[#This Row],[Product ID]], tblProducts[Product ID], tblProducts[Product Name])</f>
        <v>Pants</v>
      </c>
      <c r="G12" t="str">
        <f>_xlfn.XLOOKUP(tblAnalysis[[#This Row],[Product ID]], tblProducts[Product ID], tblProducts[Category])</f>
        <v>Fashion</v>
      </c>
      <c r="H12" s="22">
        <f>_xlfn.XLOOKUP(tblAnalysis[[#This Row],[Product ID]], tblProducts[Product ID], tblProducts[Unit Price])</f>
        <v>40</v>
      </c>
      <c r="I12" s="22">
        <f>_xlfn.XLOOKUP(tblAnalysis[[#This Row],[Product ID]], tblProducts[Product ID], tblProducts[Unit Cost])</f>
        <v>18</v>
      </c>
      <c r="J12" t="str">
        <f>_xlfn.XLOOKUP(tblAnalysis[[#This Row],[Rep ID]], tblReps[Rep ID], tblReps[Sales Rep])</f>
        <v>David</v>
      </c>
      <c r="K12" t="str">
        <f>_xlfn.XLOOKUP(tblAnalysis[[#This Row],[Rep ID]], tblReps[Rep ID], tblReps[Region])</f>
        <v>Houston</v>
      </c>
      <c r="L12" s="22">
        <f>tblAnalysis[[#This Row],[Quantity]]*tblAnalysis[[#This Row],[Unit Price]]</f>
        <v>400</v>
      </c>
      <c r="M12" s="22">
        <f>tblAnalysis[[#This Row],[Quantity]]*(tblAnalysis[[#This Row],[Unit Price]]-tblAnalysis[[#This Row],[Unit Cost]])</f>
        <v>220</v>
      </c>
    </row>
    <row r="13" spans="1:13">
      <c r="A13" t="s">
        <v>67</v>
      </c>
      <c r="B13" s="1">
        <v>45667</v>
      </c>
      <c r="C13" t="s">
        <v>49</v>
      </c>
      <c r="D13" t="s">
        <v>10</v>
      </c>
      <c r="E13">
        <v>7</v>
      </c>
      <c r="F13" t="str">
        <f>_xlfn.XLOOKUP(tblAnalysis[[#This Row],[Product ID]], tblProducts[Product ID], tblProducts[Product Name])</f>
        <v>Keyboard</v>
      </c>
      <c r="G13" t="str">
        <f>_xlfn.XLOOKUP(tblAnalysis[[#This Row],[Product ID]], tblProducts[Product ID], tblProducts[Category])</f>
        <v>Electronics</v>
      </c>
      <c r="H13" s="22">
        <f>_xlfn.XLOOKUP(tblAnalysis[[#This Row],[Product ID]], tblProducts[Product ID], tblProducts[Unit Price])</f>
        <v>40</v>
      </c>
      <c r="I13" s="22">
        <f>_xlfn.XLOOKUP(tblAnalysis[[#This Row],[Product ID]], tblProducts[Product ID], tblProducts[Unit Cost])</f>
        <v>22</v>
      </c>
      <c r="J13" t="str">
        <f>_xlfn.XLOOKUP(tblAnalysis[[#This Row],[Rep ID]], tblReps[Rep ID], tblReps[Sales Rep])</f>
        <v>Emma</v>
      </c>
      <c r="K13" t="str">
        <f>_xlfn.XLOOKUP(tblAnalysis[[#This Row],[Rep ID]], tblReps[Rep ID], tblReps[Region])</f>
        <v>Miami</v>
      </c>
      <c r="L13" s="22">
        <f>tblAnalysis[[#This Row],[Quantity]]*tblAnalysis[[#This Row],[Unit Price]]</f>
        <v>280</v>
      </c>
      <c r="M13" s="22">
        <f>tblAnalysis[[#This Row],[Quantity]]*(tblAnalysis[[#This Row],[Unit Price]]-tblAnalysis[[#This Row],[Unit Cost]])</f>
        <v>126</v>
      </c>
    </row>
    <row r="14" spans="1:13">
      <c r="A14" t="s">
        <v>68</v>
      </c>
      <c r="B14" s="1">
        <v>45669</v>
      </c>
      <c r="C14" t="s">
        <v>49</v>
      </c>
      <c r="D14" t="s">
        <v>8</v>
      </c>
      <c r="E14">
        <v>9</v>
      </c>
      <c r="F14" t="str">
        <f>_xlfn.XLOOKUP(tblAnalysis[[#This Row],[Product ID]], tblProducts[Product ID], tblProducts[Product Name])</f>
        <v>Mouse</v>
      </c>
      <c r="G14" t="str">
        <f>_xlfn.XLOOKUP(tblAnalysis[[#This Row],[Product ID]], tblProducts[Product ID], tblProducts[Category])</f>
        <v>Electronics</v>
      </c>
      <c r="H14" s="22">
        <f>_xlfn.XLOOKUP(tblAnalysis[[#This Row],[Product ID]], tblProducts[Product ID], tblProducts[Unit Price])</f>
        <v>25</v>
      </c>
      <c r="I14" s="22">
        <f>_xlfn.XLOOKUP(tblAnalysis[[#This Row],[Product ID]], tblProducts[Product ID], tblProducts[Unit Cost])</f>
        <v>12</v>
      </c>
      <c r="J14" t="str">
        <f>_xlfn.XLOOKUP(tblAnalysis[[#This Row],[Rep ID]], tblReps[Rep ID], tblReps[Sales Rep])</f>
        <v>Emma</v>
      </c>
      <c r="K14" t="str">
        <f>_xlfn.XLOOKUP(tblAnalysis[[#This Row],[Rep ID]], tblReps[Rep ID], tblReps[Region])</f>
        <v>Miami</v>
      </c>
      <c r="L14" s="22">
        <f>tblAnalysis[[#This Row],[Quantity]]*tblAnalysis[[#This Row],[Unit Price]]</f>
        <v>225</v>
      </c>
      <c r="M14" s="22">
        <f>tblAnalysis[[#This Row],[Quantity]]*(tblAnalysis[[#This Row],[Unit Price]]-tblAnalysis[[#This Row],[Unit Cost]])</f>
        <v>117</v>
      </c>
    </row>
    <row r="15" spans="1:13">
      <c r="A15" t="s">
        <v>69</v>
      </c>
      <c r="B15" s="1">
        <v>45670</v>
      </c>
      <c r="C15" t="s">
        <v>49</v>
      </c>
      <c r="D15" t="s">
        <v>21</v>
      </c>
      <c r="E15">
        <v>5</v>
      </c>
      <c r="F15" t="str">
        <f>_xlfn.XLOOKUP(tblAnalysis[[#This Row],[Product ID]], tblProducts[Product ID], tblProducts[Product Name])</f>
        <v>T-Shirt</v>
      </c>
      <c r="G15" t="str">
        <f>_xlfn.XLOOKUP(tblAnalysis[[#This Row],[Product ID]], tblProducts[Product ID], tblProducts[Category])</f>
        <v>Fashion</v>
      </c>
      <c r="H15" s="22">
        <f>_xlfn.XLOOKUP(tblAnalysis[[#This Row],[Product ID]], tblProducts[Product ID], tblProducts[Unit Price])</f>
        <v>20</v>
      </c>
      <c r="I15" s="22">
        <f>_xlfn.XLOOKUP(tblAnalysis[[#This Row],[Product ID]], tblProducts[Product ID], tblProducts[Unit Cost])</f>
        <v>8</v>
      </c>
      <c r="J15" t="str">
        <f>_xlfn.XLOOKUP(tblAnalysis[[#This Row],[Rep ID]], tblReps[Rep ID], tblReps[Sales Rep])</f>
        <v>Emma</v>
      </c>
      <c r="K15" t="str">
        <f>_xlfn.XLOOKUP(tblAnalysis[[#This Row],[Rep ID]], tblReps[Rep ID], tblReps[Region])</f>
        <v>Miami</v>
      </c>
      <c r="L15" s="22">
        <f>tblAnalysis[[#This Row],[Quantity]]*tblAnalysis[[#This Row],[Unit Price]]</f>
        <v>100</v>
      </c>
      <c r="M15" s="22">
        <f>tblAnalysis[[#This Row],[Quantity]]*(tblAnalysis[[#This Row],[Unit Price]]-tblAnalysis[[#This Row],[Unit Cost]])</f>
        <v>60</v>
      </c>
    </row>
    <row r="16" spans="1:13">
      <c r="A16" t="s">
        <v>70</v>
      </c>
      <c r="B16" s="1">
        <v>45670</v>
      </c>
      <c r="C16" t="s">
        <v>49</v>
      </c>
      <c r="D16" t="s">
        <v>17</v>
      </c>
      <c r="E16">
        <v>5</v>
      </c>
      <c r="F16" t="str">
        <f>_xlfn.XLOOKUP(tblAnalysis[[#This Row],[Product ID]], tblProducts[Product ID], tblProducts[Product Name])</f>
        <v>Iron</v>
      </c>
      <c r="G16" t="str">
        <f>_xlfn.XLOOKUP(tblAnalysis[[#This Row],[Product ID]], tblProducts[Product ID], tblProducts[Category])</f>
        <v>Home &amp; Living</v>
      </c>
      <c r="H16" s="22">
        <f>_xlfn.XLOOKUP(tblAnalysis[[#This Row],[Product ID]], tblProducts[Product ID], tblProducts[Unit Price])</f>
        <v>35</v>
      </c>
      <c r="I16" s="22">
        <f>_xlfn.XLOOKUP(tblAnalysis[[#This Row],[Product ID]], tblProducts[Product ID], tblProducts[Unit Cost])</f>
        <v>20</v>
      </c>
      <c r="J16" t="str">
        <f>_xlfn.XLOOKUP(tblAnalysis[[#This Row],[Rep ID]], tblReps[Rep ID], tblReps[Sales Rep])</f>
        <v>Emma</v>
      </c>
      <c r="K16" t="str">
        <f>_xlfn.XLOOKUP(tblAnalysis[[#This Row],[Rep ID]], tblReps[Rep ID], tblReps[Region])</f>
        <v>Miami</v>
      </c>
      <c r="L16" s="22">
        <f>tblAnalysis[[#This Row],[Quantity]]*tblAnalysis[[#This Row],[Unit Price]]</f>
        <v>175</v>
      </c>
      <c r="M16" s="22">
        <f>tblAnalysis[[#This Row],[Quantity]]*(tblAnalysis[[#This Row],[Unit Price]]-tblAnalysis[[#This Row],[Unit Cost]])</f>
        <v>75</v>
      </c>
    </row>
    <row r="17" spans="1:13">
      <c r="A17" t="s">
        <v>71</v>
      </c>
      <c r="B17" s="1">
        <v>45670</v>
      </c>
      <c r="C17" t="s">
        <v>45</v>
      </c>
      <c r="D17" t="s">
        <v>8</v>
      </c>
      <c r="E17">
        <v>6</v>
      </c>
      <c r="F17" t="str">
        <f>_xlfn.XLOOKUP(tblAnalysis[[#This Row],[Product ID]], tblProducts[Product ID], tblProducts[Product Name])</f>
        <v>Mouse</v>
      </c>
      <c r="G17" t="str">
        <f>_xlfn.XLOOKUP(tblAnalysis[[#This Row],[Product ID]], tblProducts[Product ID], tblProducts[Category])</f>
        <v>Electronics</v>
      </c>
      <c r="H17" s="22">
        <f>_xlfn.XLOOKUP(tblAnalysis[[#This Row],[Product ID]], tblProducts[Product ID], tblProducts[Unit Price])</f>
        <v>25</v>
      </c>
      <c r="I17" s="22">
        <f>_xlfn.XLOOKUP(tblAnalysis[[#This Row],[Product ID]], tblProducts[Product ID], tblProducts[Unit Cost])</f>
        <v>12</v>
      </c>
      <c r="J17" t="str">
        <f>_xlfn.XLOOKUP(tblAnalysis[[#This Row],[Rep ID]], tblReps[Rep ID], tblReps[Sales Rep])</f>
        <v>David</v>
      </c>
      <c r="K17" t="str">
        <f>_xlfn.XLOOKUP(tblAnalysis[[#This Row],[Rep ID]], tblReps[Rep ID], tblReps[Region])</f>
        <v>Houston</v>
      </c>
      <c r="L17" s="22">
        <f>tblAnalysis[[#This Row],[Quantity]]*tblAnalysis[[#This Row],[Unit Price]]</f>
        <v>150</v>
      </c>
      <c r="M17" s="22">
        <f>tblAnalysis[[#This Row],[Quantity]]*(tblAnalysis[[#This Row],[Unit Price]]-tblAnalysis[[#This Row],[Unit Cost]])</f>
        <v>78</v>
      </c>
    </row>
    <row r="18" spans="1:13">
      <c r="A18" t="s">
        <v>72</v>
      </c>
      <c r="B18" s="1">
        <v>45671</v>
      </c>
      <c r="C18" t="s">
        <v>45</v>
      </c>
      <c r="D18" t="s">
        <v>14</v>
      </c>
      <c r="E18">
        <v>9</v>
      </c>
      <c r="F18" t="str">
        <f>_xlfn.XLOOKUP(tblAnalysis[[#This Row],[Product ID]], tblProducts[Product ID], tblProducts[Product Name])</f>
        <v>Blender</v>
      </c>
      <c r="G18" t="str">
        <f>_xlfn.XLOOKUP(tblAnalysis[[#This Row],[Product ID]], tblProducts[Product ID], tblProducts[Category])</f>
        <v>Home &amp; Living</v>
      </c>
      <c r="H18" s="22">
        <f>_xlfn.XLOOKUP(tblAnalysis[[#This Row],[Product ID]], tblProducts[Product ID], tblProducts[Unit Price])</f>
        <v>50</v>
      </c>
      <c r="I18" s="22">
        <f>_xlfn.XLOOKUP(tblAnalysis[[#This Row],[Product ID]], tblProducts[Product ID], tblProducts[Unit Cost])</f>
        <v>30</v>
      </c>
      <c r="J18" t="str">
        <f>_xlfn.XLOOKUP(tblAnalysis[[#This Row],[Rep ID]], tblReps[Rep ID], tblReps[Sales Rep])</f>
        <v>David</v>
      </c>
      <c r="K18" t="str">
        <f>_xlfn.XLOOKUP(tblAnalysis[[#This Row],[Rep ID]], tblReps[Rep ID], tblReps[Region])</f>
        <v>Houston</v>
      </c>
      <c r="L18" s="22">
        <f>tblAnalysis[[#This Row],[Quantity]]*tblAnalysis[[#This Row],[Unit Price]]</f>
        <v>450</v>
      </c>
      <c r="M18" s="22">
        <f>tblAnalysis[[#This Row],[Quantity]]*(tblAnalysis[[#This Row],[Unit Price]]-tblAnalysis[[#This Row],[Unit Cost]])</f>
        <v>180</v>
      </c>
    </row>
    <row r="19" spans="1:13">
      <c r="A19" t="s">
        <v>73</v>
      </c>
      <c r="B19" s="1">
        <v>45672</v>
      </c>
      <c r="C19" t="s">
        <v>37</v>
      </c>
      <c r="D19" t="s">
        <v>12</v>
      </c>
      <c r="E19">
        <v>1</v>
      </c>
      <c r="F19" t="str">
        <f>_xlfn.XLOOKUP(tblAnalysis[[#This Row],[Product ID]], tblProducts[Product ID], tblProducts[Product Name])</f>
        <v>Webcam</v>
      </c>
      <c r="G19" t="str">
        <f>_xlfn.XLOOKUP(tblAnalysis[[#This Row],[Product ID]], tblProducts[Product ID], tblProducts[Category])</f>
        <v>Electronics</v>
      </c>
      <c r="H19" s="22">
        <f>_xlfn.XLOOKUP(tblAnalysis[[#This Row],[Product ID]], tblProducts[Product ID], tblProducts[Unit Price])</f>
        <v>60</v>
      </c>
      <c r="I19" s="22">
        <f>_xlfn.XLOOKUP(tblAnalysis[[#This Row],[Product ID]], tblProducts[Product ID], tblProducts[Unit Cost])</f>
        <v>35</v>
      </c>
      <c r="J19" t="str">
        <f>_xlfn.XLOOKUP(tblAnalysis[[#This Row],[Rep ID]], tblReps[Rep ID], tblReps[Sales Rep])</f>
        <v>Mike</v>
      </c>
      <c r="K19" t="str">
        <f>_xlfn.XLOOKUP(tblAnalysis[[#This Row],[Rep ID]], tblReps[Rep ID], tblReps[Region])</f>
        <v>Los Angeles</v>
      </c>
      <c r="L19" s="22">
        <f>tblAnalysis[[#This Row],[Quantity]]*tblAnalysis[[#This Row],[Unit Price]]</f>
        <v>60</v>
      </c>
      <c r="M19" s="22">
        <f>tblAnalysis[[#This Row],[Quantity]]*(tblAnalysis[[#This Row],[Unit Price]]-tblAnalysis[[#This Row],[Unit Cost]])</f>
        <v>25</v>
      </c>
    </row>
    <row r="20" spans="1:13">
      <c r="A20" t="s">
        <v>74</v>
      </c>
      <c r="B20" s="1">
        <v>45672</v>
      </c>
      <c r="C20" t="s">
        <v>33</v>
      </c>
      <c r="D20" t="s">
        <v>14</v>
      </c>
      <c r="E20">
        <v>6</v>
      </c>
      <c r="F20" t="str">
        <f>_xlfn.XLOOKUP(tblAnalysis[[#This Row],[Product ID]], tblProducts[Product ID], tblProducts[Product Name])</f>
        <v>Blender</v>
      </c>
      <c r="G20" t="str">
        <f>_xlfn.XLOOKUP(tblAnalysis[[#This Row],[Product ID]], tblProducts[Product ID], tblProducts[Category])</f>
        <v>Home &amp; Living</v>
      </c>
      <c r="H20" s="22">
        <f>_xlfn.XLOOKUP(tblAnalysis[[#This Row],[Product ID]], tblProducts[Product ID], tblProducts[Unit Price])</f>
        <v>50</v>
      </c>
      <c r="I20" s="22">
        <f>_xlfn.XLOOKUP(tblAnalysis[[#This Row],[Product ID]], tblProducts[Product ID], tblProducts[Unit Cost])</f>
        <v>30</v>
      </c>
      <c r="J20" t="str">
        <f>_xlfn.XLOOKUP(tblAnalysis[[#This Row],[Rep ID]], tblReps[Rep ID], tblReps[Sales Rep])</f>
        <v>John</v>
      </c>
      <c r="K20" t="str">
        <f>_xlfn.XLOOKUP(tblAnalysis[[#This Row],[Rep ID]], tblReps[Rep ID], tblReps[Region])</f>
        <v>New York</v>
      </c>
      <c r="L20" s="22">
        <f>tblAnalysis[[#This Row],[Quantity]]*tblAnalysis[[#This Row],[Unit Price]]</f>
        <v>300</v>
      </c>
      <c r="M20" s="22">
        <f>tblAnalysis[[#This Row],[Quantity]]*(tblAnalysis[[#This Row],[Unit Price]]-tblAnalysis[[#This Row],[Unit Cost]])</f>
        <v>120</v>
      </c>
    </row>
    <row r="21" spans="1:13">
      <c r="A21" t="s">
        <v>75</v>
      </c>
      <c r="B21" s="1">
        <v>45673</v>
      </c>
      <c r="C21" t="s">
        <v>45</v>
      </c>
      <c r="D21" t="s">
        <v>5</v>
      </c>
      <c r="E21">
        <v>2</v>
      </c>
      <c r="F21" t="str">
        <f>_xlfn.XLOOKUP(tblAnalysis[[#This Row],[Product ID]], tblProducts[Product ID], tblProducts[Product Name])</f>
        <v>Headset</v>
      </c>
      <c r="G21" t="str">
        <f>_xlfn.XLOOKUP(tblAnalysis[[#This Row],[Product ID]], tblProducts[Product ID], tblProducts[Category])</f>
        <v>Electronics</v>
      </c>
      <c r="H21" s="22">
        <f>_xlfn.XLOOKUP(tblAnalysis[[#This Row],[Product ID]], tblProducts[Product ID], tblProducts[Unit Price])</f>
        <v>75</v>
      </c>
      <c r="I21" s="22">
        <f>_xlfn.XLOOKUP(tblAnalysis[[#This Row],[Product ID]], tblProducts[Product ID], tblProducts[Unit Cost])</f>
        <v>45</v>
      </c>
      <c r="J21" t="str">
        <f>_xlfn.XLOOKUP(tblAnalysis[[#This Row],[Rep ID]], tblReps[Rep ID], tblReps[Sales Rep])</f>
        <v>David</v>
      </c>
      <c r="K21" t="str">
        <f>_xlfn.XLOOKUP(tblAnalysis[[#This Row],[Rep ID]], tblReps[Rep ID], tblReps[Region])</f>
        <v>Houston</v>
      </c>
      <c r="L21" s="22">
        <f>tblAnalysis[[#This Row],[Quantity]]*tblAnalysis[[#This Row],[Unit Price]]</f>
        <v>150</v>
      </c>
      <c r="M21" s="22">
        <f>tblAnalysis[[#This Row],[Quantity]]*(tblAnalysis[[#This Row],[Unit Price]]-tblAnalysis[[#This Row],[Unit Cost]])</f>
        <v>60</v>
      </c>
    </row>
    <row r="22" spans="1:13">
      <c r="A22" t="s">
        <v>76</v>
      </c>
      <c r="B22" s="1">
        <v>45674</v>
      </c>
      <c r="C22" t="s">
        <v>41</v>
      </c>
      <c r="D22" t="s">
        <v>24</v>
      </c>
      <c r="E22">
        <v>7</v>
      </c>
      <c r="F22" t="str">
        <f>_xlfn.XLOOKUP(tblAnalysis[[#This Row],[Product ID]], tblProducts[Product ID], tblProducts[Product Name])</f>
        <v>Pants</v>
      </c>
      <c r="G22" t="str">
        <f>_xlfn.XLOOKUP(tblAnalysis[[#This Row],[Product ID]], tblProducts[Product ID], tblProducts[Category])</f>
        <v>Fashion</v>
      </c>
      <c r="H22" s="22">
        <f>_xlfn.XLOOKUP(tblAnalysis[[#This Row],[Product ID]], tblProducts[Product ID], tblProducts[Unit Price])</f>
        <v>40</v>
      </c>
      <c r="I22" s="22">
        <f>_xlfn.XLOOKUP(tblAnalysis[[#This Row],[Product ID]], tblProducts[Product ID], tblProducts[Unit Cost])</f>
        <v>18</v>
      </c>
      <c r="J22" t="str">
        <f>_xlfn.XLOOKUP(tblAnalysis[[#This Row],[Rep ID]], tblReps[Rep ID], tblReps[Sales Rep])</f>
        <v>Sarah</v>
      </c>
      <c r="K22" t="str">
        <f>_xlfn.XLOOKUP(tblAnalysis[[#This Row],[Rep ID]], tblReps[Rep ID], tblReps[Region])</f>
        <v>Chicago</v>
      </c>
      <c r="L22" s="22">
        <f>tblAnalysis[[#This Row],[Quantity]]*tblAnalysis[[#This Row],[Unit Price]]</f>
        <v>280</v>
      </c>
      <c r="M22" s="22">
        <f>tblAnalysis[[#This Row],[Quantity]]*(tblAnalysis[[#This Row],[Unit Price]]-tblAnalysis[[#This Row],[Unit Cost]])</f>
        <v>154</v>
      </c>
    </row>
    <row r="23" spans="1:13">
      <c r="A23" t="s">
        <v>77</v>
      </c>
      <c r="B23" s="1">
        <v>45675</v>
      </c>
      <c r="C23" t="s">
        <v>45</v>
      </c>
      <c r="D23" t="s">
        <v>17</v>
      </c>
      <c r="E23">
        <v>9</v>
      </c>
      <c r="F23" t="str">
        <f>_xlfn.XLOOKUP(tblAnalysis[[#This Row],[Product ID]], tblProducts[Product ID], tblProducts[Product Name])</f>
        <v>Iron</v>
      </c>
      <c r="G23" t="str">
        <f>_xlfn.XLOOKUP(tblAnalysis[[#This Row],[Product ID]], tblProducts[Product ID], tblProducts[Category])</f>
        <v>Home &amp; Living</v>
      </c>
      <c r="H23" s="22">
        <f>_xlfn.XLOOKUP(tblAnalysis[[#This Row],[Product ID]], tblProducts[Product ID], tblProducts[Unit Price])</f>
        <v>35</v>
      </c>
      <c r="I23" s="22">
        <f>_xlfn.XLOOKUP(tblAnalysis[[#This Row],[Product ID]], tblProducts[Product ID], tblProducts[Unit Cost])</f>
        <v>20</v>
      </c>
      <c r="J23" t="str">
        <f>_xlfn.XLOOKUP(tblAnalysis[[#This Row],[Rep ID]], tblReps[Rep ID], tblReps[Sales Rep])</f>
        <v>David</v>
      </c>
      <c r="K23" t="str">
        <f>_xlfn.XLOOKUP(tblAnalysis[[#This Row],[Rep ID]], tblReps[Rep ID], tblReps[Region])</f>
        <v>Houston</v>
      </c>
      <c r="L23" s="22">
        <f>tblAnalysis[[#This Row],[Quantity]]*tblAnalysis[[#This Row],[Unit Price]]</f>
        <v>315</v>
      </c>
      <c r="M23" s="22">
        <f>tblAnalysis[[#This Row],[Quantity]]*(tblAnalysis[[#This Row],[Unit Price]]-tblAnalysis[[#This Row],[Unit Cost]])</f>
        <v>135</v>
      </c>
    </row>
    <row r="24" spans="1:13">
      <c r="A24" t="s">
        <v>78</v>
      </c>
      <c r="B24" s="1">
        <v>45676</v>
      </c>
      <c r="C24" t="s">
        <v>41</v>
      </c>
      <c r="D24" t="s">
        <v>24</v>
      </c>
      <c r="E24">
        <v>4</v>
      </c>
      <c r="F24" t="str">
        <f>_xlfn.XLOOKUP(tblAnalysis[[#This Row],[Product ID]], tblProducts[Product ID], tblProducts[Product Name])</f>
        <v>Pants</v>
      </c>
      <c r="G24" t="str">
        <f>_xlfn.XLOOKUP(tblAnalysis[[#This Row],[Product ID]], tblProducts[Product ID], tblProducts[Category])</f>
        <v>Fashion</v>
      </c>
      <c r="H24" s="22">
        <f>_xlfn.XLOOKUP(tblAnalysis[[#This Row],[Product ID]], tblProducts[Product ID], tblProducts[Unit Price])</f>
        <v>40</v>
      </c>
      <c r="I24" s="22">
        <f>_xlfn.XLOOKUP(tblAnalysis[[#This Row],[Product ID]], tblProducts[Product ID], tblProducts[Unit Cost])</f>
        <v>18</v>
      </c>
      <c r="J24" t="str">
        <f>_xlfn.XLOOKUP(tblAnalysis[[#This Row],[Rep ID]], tblReps[Rep ID], tblReps[Sales Rep])</f>
        <v>Sarah</v>
      </c>
      <c r="K24" t="str">
        <f>_xlfn.XLOOKUP(tblAnalysis[[#This Row],[Rep ID]], tblReps[Rep ID], tblReps[Region])</f>
        <v>Chicago</v>
      </c>
      <c r="L24" s="22">
        <f>tblAnalysis[[#This Row],[Quantity]]*tblAnalysis[[#This Row],[Unit Price]]</f>
        <v>160</v>
      </c>
      <c r="M24" s="22">
        <f>tblAnalysis[[#This Row],[Quantity]]*(tblAnalysis[[#This Row],[Unit Price]]-tblAnalysis[[#This Row],[Unit Cost]])</f>
        <v>88</v>
      </c>
    </row>
    <row r="25" spans="1:13">
      <c r="A25" t="s">
        <v>79</v>
      </c>
      <c r="B25" s="1">
        <v>45677</v>
      </c>
      <c r="C25" t="s">
        <v>33</v>
      </c>
      <c r="D25" t="s">
        <v>19</v>
      </c>
      <c r="E25">
        <v>1</v>
      </c>
      <c r="F25" t="str">
        <f>_xlfn.XLOOKUP(tblAnalysis[[#This Row],[Product ID]], tblProducts[Product ID], tblProducts[Product Name])</f>
        <v>Fan</v>
      </c>
      <c r="G25" t="str">
        <f>_xlfn.XLOOKUP(tblAnalysis[[#This Row],[Product ID]], tblProducts[Product ID], tblProducts[Category])</f>
        <v>Home &amp; Living</v>
      </c>
      <c r="H25" s="22">
        <f>_xlfn.XLOOKUP(tblAnalysis[[#This Row],[Product ID]], tblProducts[Product ID], tblProducts[Unit Price])</f>
        <v>45</v>
      </c>
      <c r="I25" s="22">
        <f>_xlfn.XLOOKUP(tblAnalysis[[#This Row],[Product ID]], tblProducts[Product ID], tblProducts[Unit Cost])</f>
        <v>25</v>
      </c>
      <c r="J25" t="str">
        <f>_xlfn.XLOOKUP(tblAnalysis[[#This Row],[Rep ID]], tblReps[Rep ID], tblReps[Sales Rep])</f>
        <v>John</v>
      </c>
      <c r="K25" t="str">
        <f>_xlfn.XLOOKUP(tblAnalysis[[#This Row],[Rep ID]], tblReps[Rep ID], tblReps[Region])</f>
        <v>New York</v>
      </c>
      <c r="L25" s="22">
        <f>tblAnalysis[[#This Row],[Quantity]]*tblAnalysis[[#This Row],[Unit Price]]</f>
        <v>45</v>
      </c>
      <c r="M25" s="22">
        <f>tblAnalysis[[#This Row],[Quantity]]*(tblAnalysis[[#This Row],[Unit Price]]-tblAnalysis[[#This Row],[Unit Cost]])</f>
        <v>20</v>
      </c>
    </row>
    <row r="26" spans="1:13">
      <c r="A26" t="s">
        <v>80</v>
      </c>
      <c r="B26" s="1">
        <v>45678</v>
      </c>
      <c r="C26" t="s">
        <v>49</v>
      </c>
      <c r="D26" t="s">
        <v>24</v>
      </c>
      <c r="E26">
        <v>1</v>
      </c>
      <c r="F26" t="str">
        <f>_xlfn.XLOOKUP(tblAnalysis[[#This Row],[Product ID]], tblProducts[Product ID], tblProducts[Product Name])</f>
        <v>Pants</v>
      </c>
      <c r="G26" t="str">
        <f>_xlfn.XLOOKUP(tblAnalysis[[#This Row],[Product ID]], tblProducts[Product ID], tblProducts[Category])</f>
        <v>Fashion</v>
      </c>
      <c r="H26" s="22">
        <f>_xlfn.XLOOKUP(tblAnalysis[[#This Row],[Product ID]], tblProducts[Product ID], tblProducts[Unit Price])</f>
        <v>40</v>
      </c>
      <c r="I26" s="22">
        <f>_xlfn.XLOOKUP(tblAnalysis[[#This Row],[Product ID]], tblProducts[Product ID], tblProducts[Unit Cost])</f>
        <v>18</v>
      </c>
      <c r="J26" t="str">
        <f>_xlfn.XLOOKUP(tblAnalysis[[#This Row],[Rep ID]], tblReps[Rep ID], tblReps[Sales Rep])</f>
        <v>Emma</v>
      </c>
      <c r="K26" t="str">
        <f>_xlfn.XLOOKUP(tblAnalysis[[#This Row],[Rep ID]], tblReps[Rep ID], tblReps[Region])</f>
        <v>Miami</v>
      </c>
      <c r="L26" s="22">
        <f>tblAnalysis[[#This Row],[Quantity]]*tblAnalysis[[#This Row],[Unit Price]]</f>
        <v>40</v>
      </c>
      <c r="M26" s="22">
        <f>tblAnalysis[[#This Row],[Quantity]]*(tblAnalysis[[#This Row],[Unit Price]]-tblAnalysis[[#This Row],[Unit Cost]])</f>
        <v>22</v>
      </c>
    </row>
    <row r="27" spans="1:13">
      <c r="A27" t="s">
        <v>81</v>
      </c>
      <c r="B27" s="1">
        <v>45678</v>
      </c>
      <c r="C27" t="s">
        <v>45</v>
      </c>
      <c r="D27" t="s">
        <v>5</v>
      </c>
      <c r="E27">
        <v>7</v>
      </c>
      <c r="F27" t="str">
        <f>_xlfn.XLOOKUP(tblAnalysis[[#This Row],[Product ID]], tblProducts[Product ID], tblProducts[Product Name])</f>
        <v>Headset</v>
      </c>
      <c r="G27" t="str">
        <f>_xlfn.XLOOKUP(tblAnalysis[[#This Row],[Product ID]], tblProducts[Product ID], tblProducts[Category])</f>
        <v>Electronics</v>
      </c>
      <c r="H27" s="22">
        <f>_xlfn.XLOOKUP(tblAnalysis[[#This Row],[Product ID]], tblProducts[Product ID], tblProducts[Unit Price])</f>
        <v>75</v>
      </c>
      <c r="I27" s="22">
        <f>_xlfn.XLOOKUP(tblAnalysis[[#This Row],[Product ID]], tblProducts[Product ID], tblProducts[Unit Cost])</f>
        <v>45</v>
      </c>
      <c r="J27" t="str">
        <f>_xlfn.XLOOKUP(tblAnalysis[[#This Row],[Rep ID]], tblReps[Rep ID], tblReps[Sales Rep])</f>
        <v>David</v>
      </c>
      <c r="K27" t="str">
        <f>_xlfn.XLOOKUP(tblAnalysis[[#This Row],[Rep ID]], tblReps[Rep ID], tblReps[Region])</f>
        <v>Houston</v>
      </c>
      <c r="L27" s="22">
        <f>tblAnalysis[[#This Row],[Quantity]]*tblAnalysis[[#This Row],[Unit Price]]</f>
        <v>525</v>
      </c>
      <c r="M27" s="22">
        <f>tblAnalysis[[#This Row],[Quantity]]*(tblAnalysis[[#This Row],[Unit Price]]-tblAnalysis[[#This Row],[Unit Cost]])</f>
        <v>210</v>
      </c>
    </row>
    <row r="28" spans="1:13">
      <c r="A28" t="s">
        <v>82</v>
      </c>
      <c r="B28" s="1">
        <v>45679</v>
      </c>
      <c r="C28" t="s">
        <v>37</v>
      </c>
      <c r="D28" t="s">
        <v>8</v>
      </c>
      <c r="E28">
        <v>5</v>
      </c>
      <c r="F28" t="str">
        <f>_xlfn.XLOOKUP(tblAnalysis[[#This Row],[Product ID]], tblProducts[Product ID], tblProducts[Product Name])</f>
        <v>Mouse</v>
      </c>
      <c r="G28" t="str">
        <f>_xlfn.XLOOKUP(tblAnalysis[[#This Row],[Product ID]], tblProducts[Product ID], tblProducts[Category])</f>
        <v>Electronics</v>
      </c>
      <c r="H28" s="22">
        <f>_xlfn.XLOOKUP(tblAnalysis[[#This Row],[Product ID]], tblProducts[Product ID], tblProducts[Unit Price])</f>
        <v>25</v>
      </c>
      <c r="I28" s="22">
        <f>_xlfn.XLOOKUP(tblAnalysis[[#This Row],[Product ID]], tblProducts[Product ID], tblProducts[Unit Cost])</f>
        <v>12</v>
      </c>
      <c r="J28" t="str">
        <f>_xlfn.XLOOKUP(tblAnalysis[[#This Row],[Rep ID]], tblReps[Rep ID], tblReps[Sales Rep])</f>
        <v>Mike</v>
      </c>
      <c r="K28" t="str">
        <f>_xlfn.XLOOKUP(tblAnalysis[[#This Row],[Rep ID]], tblReps[Rep ID], tblReps[Region])</f>
        <v>Los Angeles</v>
      </c>
      <c r="L28" s="22">
        <f>tblAnalysis[[#This Row],[Quantity]]*tblAnalysis[[#This Row],[Unit Price]]</f>
        <v>125</v>
      </c>
      <c r="M28" s="22">
        <f>tblAnalysis[[#This Row],[Quantity]]*(tblAnalysis[[#This Row],[Unit Price]]-tblAnalysis[[#This Row],[Unit Cost]])</f>
        <v>65</v>
      </c>
    </row>
    <row r="29" spans="1:13">
      <c r="A29" t="s">
        <v>83</v>
      </c>
      <c r="B29" s="1">
        <v>45679</v>
      </c>
      <c r="C29" t="s">
        <v>41</v>
      </c>
      <c r="D29" t="s">
        <v>17</v>
      </c>
      <c r="E29">
        <v>7</v>
      </c>
      <c r="F29" t="str">
        <f>_xlfn.XLOOKUP(tblAnalysis[[#This Row],[Product ID]], tblProducts[Product ID], tblProducts[Product Name])</f>
        <v>Iron</v>
      </c>
      <c r="G29" t="str">
        <f>_xlfn.XLOOKUP(tblAnalysis[[#This Row],[Product ID]], tblProducts[Product ID], tblProducts[Category])</f>
        <v>Home &amp; Living</v>
      </c>
      <c r="H29" s="22">
        <f>_xlfn.XLOOKUP(tblAnalysis[[#This Row],[Product ID]], tblProducts[Product ID], tblProducts[Unit Price])</f>
        <v>35</v>
      </c>
      <c r="I29" s="22">
        <f>_xlfn.XLOOKUP(tblAnalysis[[#This Row],[Product ID]], tblProducts[Product ID], tblProducts[Unit Cost])</f>
        <v>20</v>
      </c>
      <c r="J29" t="str">
        <f>_xlfn.XLOOKUP(tblAnalysis[[#This Row],[Rep ID]], tblReps[Rep ID], tblReps[Sales Rep])</f>
        <v>Sarah</v>
      </c>
      <c r="K29" t="str">
        <f>_xlfn.XLOOKUP(tblAnalysis[[#This Row],[Rep ID]], tblReps[Rep ID], tblReps[Region])</f>
        <v>Chicago</v>
      </c>
      <c r="L29" s="22">
        <f>tblAnalysis[[#This Row],[Quantity]]*tblAnalysis[[#This Row],[Unit Price]]</f>
        <v>245</v>
      </c>
      <c r="M29" s="22">
        <f>tblAnalysis[[#This Row],[Quantity]]*(tblAnalysis[[#This Row],[Unit Price]]-tblAnalysis[[#This Row],[Unit Cost]])</f>
        <v>105</v>
      </c>
    </row>
    <row r="30" spans="1:13">
      <c r="A30" t="s">
        <v>84</v>
      </c>
      <c r="B30" s="1">
        <v>45680</v>
      </c>
      <c r="C30" t="s">
        <v>45</v>
      </c>
      <c r="D30" t="s">
        <v>8</v>
      </c>
      <c r="E30">
        <v>1</v>
      </c>
      <c r="F30" t="str">
        <f>_xlfn.XLOOKUP(tblAnalysis[[#This Row],[Product ID]], tblProducts[Product ID], tblProducts[Product Name])</f>
        <v>Mouse</v>
      </c>
      <c r="G30" t="str">
        <f>_xlfn.XLOOKUP(tblAnalysis[[#This Row],[Product ID]], tblProducts[Product ID], tblProducts[Category])</f>
        <v>Electronics</v>
      </c>
      <c r="H30" s="22">
        <f>_xlfn.XLOOKUP(tblAnalysis[[#This Row],[Product ID]], tblProducts[Product ID], tblProducts[Unit Price])</f>
        <v>25</v>
      </c>
      <c r="I30" s="22">
        <f>_xlfn.XLOOKUP(tblAnalysis[[#This Row],[Product ID]], tblProducts[Product ID], tblProducts[Unit Cost])</f>
        <v>12</v>
      </c>
      <c r="J30" t="str">
        <f>_xlfn.XLOOKUP(tblAnalysis[[#This Row],[Rep ID]], tblReps[Rep ID], tblReps[Sales Rep])</f>
        <v>David</v>
      </c>
      <c r="K30" t="str">
        <f>_xlfn.XLOOKUP(tblAnalysis[[#This Row],[Rep ID]], tblReps[Rep ID], tblReps[Region])</f>
        <v>Houston</v>
      </c>
      <c r="L30" s="22">
        <f>tblAnalysis[[#This Row],[Quantity]]*tblAnalysis[[#This Row],[Unit Price]]</f>
        <v>25</v>
      </c>
      <c r="M30" s="22">
        <f>tblAnalysis[[#This Row],[Quantity]]*(tblAnalysis[[#This Row],[Unit Price]]-tblAnalysis[[#This Row],[Unit Cost]])</f>
        <v>13</v>
      </c>
    </row>
    <row r="31" spans="1:13">
      <c r="A31" t="s">
        <v>85</v>
      </c>
      <c r="B31" s="1">
        <v>45682</v>
      </c>
      <c r="C31" t="s">
        <v>49</v>
      </c>
      <c r="D31" t="s">
        <v>10</v>
      </c>
      <c r="E31">
        <v>8</v>
      </c>
      <c r="F31" t="str">
        <f>_xlfn.XLOOKUP(tblAnalysis[[#This Row],[Product ID]], tblProducts[Product ID], tblProducts[Product Name])</f>
        <v>Keyboard</v>
      </c>
      <c r="G31" t="str">
        <f>_xlfn.XLOOKUP(tblAnalysis[[#This Row],[Product ID]], tblProducts[Product ID], tblProducts[Category])</f>
        <v>Electronics</v>
      </c>
      <c r="H31" s="22">
        <f>_xlfn.XLOOKUP(tblAnalysis[[#This Row],[Product ID]], tblProducts[Product ID], tblProducts[Unit Price])</f>
        <v>40</v>
      </c>
      <c r="I31" s="22">
        <f>_xlfn.XLOOKUP(tblAnalysis[[#This Row],[Product ID]], tblProducts[Product ID], tblProducts[Unit Cost])</f>
        <v>22</v>
      </c>
      <c r="J31" t="str">
        <f>_xlfn.XLOOKUP(tblAnalysis[[#This Row],[Rep ID]], tblReps[Rep ID], tblReps[Sales Rep])</f>
        <v>Emma</v>
      </c>
      <c r="K31" t="str">
        <f>_xlfn.XLOOKUP(tblAnalysis[[#This Row],[Rep ID]], tblReps[Rep ID], tblReps[Region])</f>
        <v>Miami</v>
      </c>
      <c r="L31" s="22">
        <f>tblAnalysis[[#This Row],[Quantity]]*tblAnalysis[[#This Row],[Unit Price]]</f>
        <v>320</v>
      </c>
      <c r="M31" s="22">
        <f>tblAnalysis[[#This Row],[Quantity]]*(tblAnalysis[[#This Row],[Unit Price]]-tblAnalysis[[#This Row],[Unit Cost]])</f>
        <v>144</v>
      </c>
    </row>
    <row r="32" spans="1:13">
      <c r="A32" t="s">
        <v>86</v>
      </c>
      <c r="B32" s="1">
        <v>45683</v>
      </c>
      <c r="C32" t="s">
        <v>41</v>
      </c>
      <c r="D32" t="s">
        <v>19</v>
      </c>
      <c r="E32">
        <v>4</v>
      </c>
      <c r="F32" t="str">
        <f>_xlfn.XLOOKUP(tblAnalysis[[#This Row],[Product ID]], tblProducts[Product ID], tblProducts[Product Name])</f>
        <v>Fan</v>
      </c>
      <c r="G32" t="str">
        <f>_xlfn.XLOOKUP(tblAnalysis[[#This Row],[Product ID]], tblProducts[Product ID], tblProducts[Category])</f>
        <v>Home &amp; Living</v>
      </c>
      <c r="H32" s="22">
        <f>_xlfn.XLOOKUP(tblAnalysis[[#This Row],[Product ID]], tblProducts[Product ID], tblProducts[Unit Price])</f>
        <v>45</v>
      </c>
      <c r="I32" s="22">
        <f>_xlfn.XLOOKUP(tblAnalysis[[#This Row],[Product ID]], tblProducts[Product ID], tblProducts[Unit Cost])</f>
        <v>25</v>
      </c>
      <c r="J32" t="str">
        <f>_xlfn.XLOOKUP(tblAnalysis[[#This Row],[Rep ID]], tblReps[Rep ID], tblReps[Sales Rep])</f>
        <v>Sarah</v>
      </c>
      <c r="K32" t="str">
        <f>_xlfn.XLOOKUP(tblAnalysis[[#This Row],[Rep ID]], tblReps[Rep ID], tblReps[Region])</f>
        <v>Chicago</v>
      </c>
      <c r="L32" s="22">
        <f>tblAnalysis[[#This Row],[Quantity]]*tblAnalysis[[#This Row],[Unit Price]]</f>
        <v>180</v>
      </c>
      <c r="M32" s="22">
        <f>tblAnalysis[[#This Row],[Quantity]]*(tblAnalysis[[#This Row],[Unit Price]]-tblAnalysis[[#This Row],[Unit Cost]])</f>
        <v>80</v>
      </c>
    </row>
    <row r="33" spans="1:13">
      <c r="A33" t="s">
        <v>87</v>
      </c>
      <c r="B33" s="1">
        <v>45684</v>
      </c>
      <c r="C33" t="s">
        <v>41</v>
      </c>
      <c r="D33" t="s">
        <v>19</v>
      </c>
      <c r="E33">
        <v>10</v>
      </c>
      <c r="F33" t="str">
        <f>_xlfn.XLOOKUP(tblAnalysis[[#This Row],[Product ID]], tblProducts[Product ID], tblProducts[Product Name])</f>
        <v>Fan</v>
      </c>
      <c r="G33" t="str">
        <f>_xlfn.XLOOKUP(tblAnalysis[[#This Row],[Product ID]], tblProducts[Product ID], tblProducts[Category])</f>
        <v>Home &amp; Living</v>
      </c>
      <c r="H33" s="22">
        <f>_xlfn.XLOOKUP(tblAnalysis[[#This Row],[Product ID]], tblProducts[Product ID], tblProducts[Unit Price])</f>
        <v>45</v>
      </c>
      <c r="I33" s="22">
        <f>_xlfn.XLOOKUP(tblAnalysis[[#This Row],[Product ID]], tblProducts[Product ID], tblProducts[Unit Cost])</f>
        <v>25</v>
      </c>
      <c r="J33" t="str">
        <f>_xlfn.XLOOKUP(tblAnalysis[[#This Row],[Rep ID]], tblReps[Rep ID], tblReps[Sales Rep])</f>
        <v>Sarah</v>
      </c>
      <c r="K33" t="str">
        <f>_xlfn.XLOOKUP(tblAnalysis[[#This Row],[Rep ID]], tblReps[Rep ID], tblReps[Region])</f>
        <v>Chicago</v>
      </c>
      <c r="L33" s="22">
        <f>tblAnalysis[[#This Row],[Quantity]]*tblAnalysis[[#This Row],[Unit Price]]</f>
        <v>450</v>
      </c>
      <c r="M33" s="22">
        <f>tblAnalysis[[#This Row],[Quantity]]*(tblAnalysis[[#This Row],[Unit Price]]-tblAnalysis[[#This Row],[Unit Cost]])</f>
        <v>200</v>
      </c>
    </row>
    <row r="34" spans="1:13">
      <c r="A34" t="s">
        <v>88</v>
      </c>
      <c r="B34" s="1">
        <v>45685</v>
      </c>
      <c r="C34" t="s">
        <v>37</v>
      </c>
      <c r="D34" t="s">
        <v>17</v>
      </c>
      <c r="E34">
        <v>2</v>
      </c>
      <c r="F34" t="str">
        <f>_xlfn.XLOOKUP(tblAnalysis[[#This Row],[Product ID]], tblProducts[Product ID], tblProducts[Product Name])</f>
        <v>Iron</v>
      </c>
      <c r="G34" t="str">
        <f>_xlfn.XLOOKUP(tblAnalysis[[#This Row],[Product ID]], tblProducts[Product ID], tblProducts[Category])</f>
        <v>Home &amp; Living</v>
      </c>
      <c r="H34" s="22">
        <f>_xlfn.XLOOKUP(tblAnalysis[[#This Row],[Product ID]], tblProducts[Product ID], tblProducts[Unit Price])</f>
        <v>35</v>
      </c>
      <c r="I34" s="22">
        <f>_xlfn.XLOOKUP(tblAnalysis[[#This Row],[Product ID]], tblProducts[Product ID], tblProducts[Unit Cost])</f>
        <v>20</v>
      </c>
      <c r="J34" t="str">
        <f>_xlfn.XLOOKUP(tblAnalysis[[#This Row],[Rep ID]], tblReps[Rep ID], tblReps[Sales Rep])</f>
        <v>Mike</v>
      </c>
      <c r="K34" t="str">
        <f>_xlfn.XLOOKUP(tblAnalysis[[#This Row],[Rep ID]], tblReps[Rep ID], tblReps[Region])</f>
        <v>Los Angeles</v>
      </c>
      <c r="L34" s="22">
        <f>tblAnalysis[[#This Row],[Quantity]]*tblAnalysis[[#This Row],[Unit Price]]</f>
        <v>70</v>
      </c>
      <c r="M34" s="22">
        <f>tblAnalysis[[#This Row],[Quantity]]*(tblAnalysis[[#This Row],[Unit Price]]-tblAnalysis[[#This Row],[Unit Cost]])</f>
        <v>30</v>
      </c>
    </row>
    <row r="35" spans="1:13">
      <c r="A35" t="s">
        <v>89</v>
      </c>
      <c r="B35" s="1">
        <v>45685</v>
      </c>
      <c r="C35" t="s">
        <v>37</v>
      </c>
      <c r="D35" t="s">
        <v>17</v>
      </c>
      <c r="E35">
        <v>5</v>
      </c>
      <c r="F35" t="str">
        <f>_xlfn.XLOOKUP(tblAnalysis[[#This Row],[Product ID]], tblProducts[Product ID], tblProducts[Product Name])</f>
        <v>Iron</v>
      </c>
      <c r="G35" t="str">
        <f>_xlfn.XLOOKUP(tblAnalysis[[#This Row],[Product ID]], tblProducts[Product ID], tblProducts[Category])</f>
        <v>Home &amp; Living</v>
      </c>
      <c r="H35" s="22">
        <f>_xlfn.XLOOKUP(tblAnalysis[[#This Row],[Product ID]], tblProducts[Product ID], tblProducts[Unit Price])</f>
        <v>35</v>
      </c>
      <c r="I35" s="22">
        <f>_xlfn.XLOOKUP(tblAnalysis[[#This Row],[Product ID]], tblProducts[Product ID], tblProducts[Unit Cost])</f>
        <v>20</v>
      </c>
      <c r="J35" t="str">
        <f>_xlfn.XLOOKUP(tblAnalysis[[#This Row],[Rep ID]], tblReps[Rep ID], tblReps[Sales Rep])</f>
        <v>Mike</v>
      </c>
      <c r="K35" t="str">
        <f>_xlfn.XLOOKUP(tblAnalysis[[#This Row],[Rep ID]], tblReps[Rep ID], tblReps[Region])</f>
        <v>Los Angeles</v>
      </c>
      <c r="L35" s="22">
        <f>tblAnalysis[[#This Row],[Quantity]]*tblAnalysis[[#This Row],[Unit Price]]</f>
        <v>175</v>
      </c>
      <c r="M35" s="22">
        <f>tblAnalysis[[#This Row],[Quantity]]*(tblAnalysis[[#This Row],[Unit Price]]-tblAnalysis[[#This Row],[Unit Cost]])</f>
        <v>75</v>
      </c>
    </row>
    <row r="36" spans="1:13">
      <c r="A36" t="s">
        <v>90</v>
      </c>
      <c r="B36" s="1">
        <v>45686</v>
      </c>
      <c r="C36" t="s">
        <v>37</v>
      </c>
      <c r="D36" t="s">
        <v>24</v>
      </c>
      <c r="E36">
        <v>1</v>
      </c>
      <c r="F36" t="str">
        <f>_xlfn.XLOOKUP(tblAnalysis[[#This Row],[Product ID]], tblProducts[Product ID], tblProducts[Product Name])</f>
        <v>Pants</v>
      </c>
      <c r="G36" t="str">
        <f>_xlfn.XLOOKUP(tblAnalysis[[#This Row],[Product ID]], tblProducts[Product ID], tblProducts[Category])</f>
        <v>Fashion</v>
      </c>
      <c r="H36" s="22">
        <f>_xlfn.XLOOKUP(tblAnalysis[[#This Row],[Product ID]], tblProducts[Product ID], tblProducts[Unit Price])</f>
        <v>40</v>
      </c>
      <c r="I36" s="22">
        <f>_xlfn.XLOOKUP(tblAnalysis[[#This Row],[Product ID]], tblProducts[Product ID], tblProducts[Unit Cost])</f>
        <v>18</v>
      </c>
      <c r="J36" t="str">
        <f>_xlfn.XLOOKUP(tblAnalysis[[#This Row],[Rep ID]], tblReps[Rep ID], tblReps[Sales Rep])</f>
        <v>Mike</v>
      </c>
      <c r="K36" t="str">
        <f>_xlfn.XLOOKUP(tblAnalysis[[#This Row],[Rep ID]], tblReps[Rep ID], tblReps[Region])</f>
        <v>Los Angeles</v>
      </c>
      <c r="L36" s="22">
        <f>tblAnalysis[[#This Row],[Quantity]]*tblAnalysis[[#This Row],[Unit Price]]</f>
        <v>40</v>
      </c>
      <c r="M36" s="22">
        <f>tblAnalysis[[#This Row],[Quantity]]*(tblAnalysis[[#This Row],[Unit Price]]-tblAnalysis[[#This Row],[Unit Cost]])</f>
        <v>22</v>
      </c>
    </row>
    <row r="37" spans="1:13">
      <c r="A37" t="s">
        <v>91</v>
      </c>
      <c r="B37" s="1">
        <v>45690</v>
      </c>
      <c r="C37" t="s">
        <v>41</v>
      </c>
      <c r="D37" t="s">
        <v>24</v>
      </c>
      <c r="E37">
        <v>9</v>
      </c>
      <c r="F37" t="str">
        <f>_xlfn.XLOOKUP(tblAnalysis[[#This Row],[Product ID]], tblProducts[Product ID], tblProducts[Product Name])</f>
        <v>Pants</v>
      </c>
      <c r="G37" t="str">
        <f>_xlfn.XLOOKUP(tblAnalysis[[#This Row],[Product ID]], tblProducts[Product ID], tblProducts[Category])</f>
        <v>Fashion</v>
      </c>
      <c r="H37" s="22">
        <f>_xlfn.XLOOKUP(tblAnalysis[[#This Row],[Product ID]], tblProducts[Product ID], tblProducts[Unit Price])</f>
        <v>40</v>
      </c>
      <c r="I37" s="22">
        <f>_xlfn.XLOOKUP(tblAnalysis[[#This Row],[Product ID]], tblProducts[Product ID], tblProducts[Unit Cost])</f>
        <v>18</v>
      </c>
      <c r="J37" t="str">
        <f>_xlfn.XLOOKUP(tblAnalysis[[#This Row],[Rep ID]], tblReps[Rep ID], tblReps[Sales Rep])</f>
        <v>Sarah</v>
      </c>
      <c r="K37" t="str">
        <f>_xlfn.XLOOKUP(tblAnalysis[[#This Row],[Rep ID]], tblReps[Rep ID], tblReps[Region])</f>
        <v>Chicago</v>
      </c>
      <c r="L37" s="22">
        <f>tblAnalysis[[#This Row],[Quantity]]*tblAnalysis[[#This Row],[Unit Price]]</f>
        <v>360</v>
      </c>
      <c r="M37" s="22">
        <f>tblAnalysis[[#This Row],[Quantity]]*(tblAnalysis[[#This Row],[Unit Price]]-tblAnalysis[[#This Row],[Unit Cost]])</f>
        <v>198</v>
      </c>
    </row>
    <row r="38" spans="1:13">
      <c r="A38" t="s">
        <v>92</v>
      </c>
      <c r="B38" s="1">
        <v>45690</v>
      </c>
      <c r="C38" t="s">
        <v>45</v>
      </c>
      <c r="D38" t="s">
        <v>5</v>
      </c>
      <c r="E38">
        <v>8</v>
      </c>
      <c r="F38" t="str">
        <f>_xlfn.XLOOKUP(tblAnalysis[[#This Row],[Product ID]], tblProducts[Product ID], tblProducts[Product Name])</f>
        <v>Headset</v>
      </c>
      <c r="G38" t="str">
        <f>_xlfn.XLOOKUP(tblAnalysis[[#This Row],[Product ID]], tblProducts[Product ID], tblProducts[Category])</f>
        <v>Electronics</v>
      </c>
      <c r="H38" s="22">
        <f>_xlfn.XLOOKUP(tblAnalysis[[#This Row],[Product ID]], tblProducts[Product ID], tblProducts[Unit Price])</f>
        <v>75</v>
      </c>
      <c r="I38" s="22">
        <f>_xlfn.XLOOKUP(tblAnalysis[[#This Row],[Product ID]], tblProducts[Product ID], tblProducts[Unit Cost])</f>
        <v>45</v>
      </c>
      <c r="J38" t="str">
        <f>_xlfn.XLOOKUP(tblAnalysis[[#This Row],[Rep ID]], tblReps[Rep ID], tblReps[Sales Rep])</f>
        <v>David</v>
      </c>
      <c r="K38" t="str">
        <f>_xlfn.XLOOKUP(tblAnalysis[[#This Row],[Rep ID]], tblReps[Rep ID], tblReps[Region])</f>
        <v>Houston</v>
      </c>
      <c r="L38" s="22">
        <f>tblAnalysis[[#This Row],[Quantity]]*tblAnalysis[[#This Row],[Unit Price]]</f>
        <v>600</v>
      </c>
      <c r="M38" s="22">
        <f>tblAnalysis[[#This Row],[Quantity]]*(tblAnalysis[[#This Row],[Unit Price]]-tblAnalysis[[#This Row],[Unit Cost]])</f>
        <v>240</v>
      </c>
    </row>
    <row r="39" spans="1:13">
      <c r="A39" t="s">
        <v>93</v>
      </c>
      <c r="B39" s="1">
        <v>45690</v>
      </c>
      <c r="C39" t="s">
        <v>37</v>
      </c>
      <c r="D39" t="s">
        <v>12</v>
      </c>
      <c r="E39">
        <v>1</v>
      </c>
      <c r="F39" t="str">
        <f>_xlfn.XLOOKUP(tblAnalysis[[#This Row],[Product ID]], tblProducts[Product ID], tblProducts[Product Name])</f>
        <v>Webcam</v>
      </c>
      <c r="G39" t="str">
        <f>_xlfn.XLOOKUP(tblAnalysis[[#This Row],[Product ID]], tblProducts[Product ID], tblProducts[Category])</f>
        <v>Electronics</v>
      </c>
      <c r="H39" s="22">
        <f>_xlfn.XLOOKUP(tblAnalysis[[#This Row],[Product ID]], tblProducts[Product ID], tblProducts[Unit Price])</f>
        <v>60</v>
      </c>
      <c r="I39" s="22">
        <f>_xlfn.XLOOKUP(tblAnalysis[[#This Row],[Product ID]], tblProducts[Product ID], tblProducts[Unit Cost])</f>
        <v>35</v>
      </c>
      <c r="J39" t="str">
        <f>_xlfn.XLOOKUP(tblAnalysis[[#This Row],[Rep ID]], tblReps[Rep ID], tblReps[Sales Rep])</f>
        <v>Mike</v>
      </c>
      <c r="K39" t="str">
        <f>_xlfn.XLOOKUP(tblAnalysis[[#This Row],[Rep ID]], tblReps[Rep ID], tblReps[Region])</f>
        <v>Los Angeles</v>
      </c>
      <c r="L39" s="22">
        <f>tblAnalysis[[#This Row],[Quantity]]*tblAnalysis[[#This Row],[Unit Price]]</f>
        <v>60</v>
      </c>
      <c r="M39" s="22">
        <f>tblAnalysis[[#This Row],[Quantity]]*(tblAnalysis[[#This Row],[Unit Price]]-tblAnalysis[[#This Row],[Unit Cost]])</f>
        <v>25</v>
      </c>
    </row>
    <row r="40" spans="1:13">
      <c r="A40" t="s">
        <v>94</v>
      </c>
      <c r="B40" s="1">
        <v>45692</v>
      </c>
      <c r="C40" t="s">
        <v>49</v>
      </c>
      <c r="D40" t="s">
        <v>10</v>
      </c>
      <c r="E40">
        <v>5</v>
      </c>
      <c r="F40" t="str">
        <f>_xlfn.XLOOKUP(tblAnalysis[[#This Row],[Product ID]], tblProducts[Product ID], tblProducts[Product Name])</f>
        <v>Keyboard</v>
      </c>
      <c r="G40" t="str">
        <f>_xlfn.XLOOKUP(tblAnalysis[[#This Row],[Product ID]], tblProducts[Product ID], tblProducts[Category])</f>
        <v>Electronics</v>
      </c>
      <c r="H40" s="22">
        <f>_xlfn.XLOOKUP(tblAnalysis[[#This Row],[Product ID]], tblProducts[Product ID], tblProducts[Unit Price])</f>
        <v>40</v>
      </c>
      <c r="I40" s="22">
        <f>_xlfn.XLOOKUP(tblAnalysis[[#This Row],[Product ID]], tblProducts[Product ID], tblProducts[Unit Cost])</f>
        <v>22</v>
      </c>
      <c r="J40" t="str">
        <f>_xlfn.XLOOKUP(tblAnalysis[[#This Row],[Rep ID]], tblReps[Rep ID], tblReps[Sales Rep])</f>
        <v>Emma</v>
      </c>
      <c r="K40" t="str">
        <f>_xlfn.XLOOKUP(tblAnalysis[[#This Row],[Rep ID]], tblReps[Rep ID], tblReps[Region])</f>
        <v>Miami</v>
      </c>
      <c r="L40" s="22">
        <f>tblAnalysis[[#This Row],[Quantity]]*tblAnalysis[[#This Row],[Unit Price]]</f>
        <v>200</v>
      </c>
      <c r="M40" s="22">
        <f>tblAnalysis[[#This Row],[Quantity]]*(tblAnalysis[[#This Row],[Unit Price]]-tblAnalysis[[#This Row],[Unit Cost]])</f>
        <v>90</v>
      </c>
    </row>
    <row r="41" spans="1:13">
      <c r="A41" t="s">
        <v>95</v>
      </c>
      <c r="B41" s="1">
        <v>45692</v>
      </c>
      <c r="C41" t="s">
        <v>45</v>
      </c>
      <c r="D41" t="s">
        <v>14</v>
      </c>
      <c r="E41">
        <v>4</v>
      </c>
      <c r="F41" t="str">
        <f>_xlfn.XLOOKUP(tblAnalysis[[#This Row],[Product ID]], tblProducts[Product ID], tblProducts[Product Name])</f>
        <v>Blender</v>
      </c>
      <c r="G41" t="str">
        <f>_xlfn.XLOOKUP(tblAnalysis[[#This Row],[Product ID]], tblProducts[Product ID], tblProducts[Category])</f>
        <v>Home &amp; Living</v>
      </c>
      <c r="H41" s="22">
        <f>_xlfn.XLOOKUP(tblAnalysis[[#This Row],[Product ID]], tblProducts[Product ID], tblProducts[Unit Price])</f>
        <v>50</v>
      </c>
      <c r="I41" s="22">
        <f>_xlfn.XLOOKUP(tblAnalysis[[#This Row],[Product ID]], tblProducts[Product ID], tblProducts[Unit Cost])</f>
        <v>30</v>
      </c>
      <c r="J41" t="str">
        <f>_xlfn.XLOOKUP(tblAnalysis[[#This Row],[Rep ID]], tblReps[Rep ID], tblReps[Sales Rep])</f>
        <v>David</v>
      </c>
      <c r="K41" t="str">
        <f>_xlfn.XLOOKUP(tblAnalysis[[#This Row],[Rep ID]], tblReps[Rep ID], tblReps[Region])</f>
        <v>Houston</v>
      </c>
      <c r="L41" s="22">
        <f>tblAnalysis[[#This Row],[Quantity]]*tblAnalysis[[#This Row],[Unit Price]]</f>
        <v>200</v>
      </c>
      <c r="M41" s="22">
        <f>tblAnalysis[[#This Row],[Quantity]]*(tblAnalysis[[#This Row],[Unit Price]]-tblAnalysis[[#This Row],[Unit Cost]])</f>
        <v>80</v>
      </c>
    </row>
    <row r="42" spans="1:13">
      <c r="A42" t="s">
        <v>96</v>
      </c>
      <c r="B42" s="1">
        <v>45692</v>
      </c>
      <c r="C42" t="s">
        <v>41</v>
      </c>
      <c r="D42" t="s">
        <v>26</v>
      </c>
      <c r="E42">
        <v>7</v>
      </c>
      <c r="F42" t="str">
        <f>_xlfn.XLOOKUP(tblAnalysis[[#This Row],[Product ID]], tblProducts[Product ID], tblProducts[Product Name])</f>
        <v>Shoes</v>
      </c>
      <c r="G42" t="str">
        <f>_xlfn.XLOOKUP(tblAnalysis[[#This Row],[Product ID]], tblProducts[Product ID], tblProducts[Category])</f>
        <v>Fashion</v>
      </c>
      <c r="H42" s="22">
        <f>_xlfn.XLOOKUP(tblAnalysis[[#This Row],[Product ID]], tblProducts[Product ID], tblProducts[Unit Price])</f>
        <v>75</v>
      </c>
      <c r="I42" s="22">
        <f>_xlfn.XLOOKUP(tblAnalysis[[#This Row],[Product ID]], tblProducts[Product ID], tblProducts[Unit Cost])</f>
        <v>40</v>
      </c>
      <c r="J42" t="str">
        <f>_xlfn.XLOOKUP(tblAnalysis[[#This Row],[Rep ID]], tblReps[Rep ID], tblReps[Sales Rep])</f>
        <v>Sarah</v>
      </c>
      <c r="K42" t="str">
        <f>_xlfn.XLOOKUP(tblAnalysis[[#This Row],[Rep ID]], tblReps[Rep ID], tblReps[Region])</f>
        <v>Chicago</v>
      </c>
      <c r="L42" s="22">
        <f>tblAnalysis[[#This Row],[Quantity]]*tblAnalysis[[#This Row],[Unit Price]]</f>
        <v>525</v>
      </c>
      <c r="M42" s="22">
        <f>tblAnalysis[[#This Row],[Quantity]]*(tblAnalysis[[#This Row],[Unit Price]]-tblAnalysis[[#This Row],[Unit Cost]])</f>
        <v>245</v>
      </c>
    </row>
    <row r="43" spans="1:13">
      <c r="A43" t="s">
        <v>97</v>
      </c>
      <c r="B43" s="1">
        <v>45692</v>
      </c>
      <c r="C43" t="s">
        <v>37</v>
      </c>
      <c r="D43" t="s">
        <v>10</v>
      </c>
      <c r="E43">
        <v>1</v>
      </c>
      <c r="F43" t="str">
        <f>_xlfn.XLOOKUP(tblAnalysis[[#This Row],[Product ID]], tblProducts[Product ID], tblProducts[Product Name])</f>
        <v>Keyboard</v>
      </c>
      <c r="G43" t="str">
        <f>_xlfn.XLOOKUP(tblAnalysis[[#This Row],[Product ID]], tblProducts[Product ID], tblProducts[Category])</f>
        <v>Electronics</v>
      </c>
      <c r="H43" s="22">
        <f>_xlfn.XLOOKUP(tblAnalysis[[#This Row],[Product ID]], tblProducts[Product ID], tblProducts[Unit Price])</f>
        <v>40</v>
      </c>
      <c r="I43" s="22">
        <f>_xlfn.XLOOKUP(tblAnalysis[[#This Row],[Product ID]], tblProducts[Product ID], tblProducts[Unit Cost])</f>
        <v>22</v>
      </c>
      <c r="J43" t="str">
        <f>_xlfn.XLOOKUP(tblAnalysis[[#This Row],[Rep ID]], tblReps[Rep ID], tblReps[Sales Rep])</f>
        <v>Mike</v>
      </c>
      <c r="K43" t="str">
        <f>_xlfn.XLOOKUP(tblAnalysis[[#This Row],[Rep ID]], tblReps[Rep ID], tblReps[Region])</f>
        <v>Los Angeles</v>
      </c>
      <c r="L43" s="22">
        <f>tblAnalysis[[#This Row],[Quantity]]*tblAnalysis[[#This Row],[Unit Price]]</f>
        <v>40</v>
      </c>
      <c r="M43" s="22">
        <f>tblAnalysis[[#This Row],[Quantity]]*(tblAnalysis[[#This Row],[Unit Price]]-tblAnalysis[[#This Row],[Unit Cost]])</f>
        <v>18</v>
      </c>
    </row>
    <row r="44" spans="1:13">
      <c r="A44" t="s">
        <v>98</v>
      </c>
      <c r="B44" s="1">
        <v>45693</v>
      </c>
      <c r="C44" t="s">
        <v>45</v>
      </c>
      <c r="D44" t="s">
        <v>12</v>
      </c>
      <c r="E44">
        <v>4</v>
      </c>
      <c r="F44" t="str">
        <f>_xlfn.XLOOKUP(tblAnalysis[[#This Row],[Product ID]], tblProducts[Product ID], tblProducts[Product Name])</f>
        <v>Webcam</v>
      </c>
      <c r="G44" t="str">
        <f>_xlfn.XLOOKUP(tblAnalysis[[#This Row],[Product ID]], tblProducts[Product ID], tblProducts[Category])</f>
        <v>Electronics</v>
      </c>
      <c r="H44" s="22">
        <f>_xlfn.XLOOKUP(tblAnalysis[[#This Row],[Product ID]], tblProducts[Product ID], tblProducts[Unit Price])</f>
        <v>60</v>
      </c>
      <c r="I44" s="22">
        <f>_xlfn.XLOOKUP(tblAnalysis[[#This Row],[Product ID]], tblProducts[Product ID], tblProducts[Unit Cost])</f>
        <v>35</v>
      </c>
      <c r="J44" t="str">
        <f>_xlfn.XLOOKUP(tblAnalysis[[#This Row],[Rep ID]], tblReps[Rep ID], tblReps[Sales Rep])</f>
        <v>David</v>
      </c>
      <c r="K44" t="str">
        <f>_xlfn.XLOOKUP(tblAnalysis[[#This Row],[Rep ID]], tblReps[Rep ID], tblReps[Region])</f>
        <v>Houston</v>
      </c>
      <c r="L44" s="22">
        <f>tblAnalysis[[#This Row],[Quantity]]*tblAnalysis[[#This Row],[Unit Price]]</f>
        <v>240</v>
      </c>
      <c r="M44" s="22">
        <f>tblAnalysis[[#This Row],[Quantity]]*(tblAnalysis[[#This Row],[Unit Price]]-tblAnalysis[[#This Row],[Unit Cost]])</f>
        <v>100</v>
      </c>
    </row>
    <row r="45" spans="1:13">
      <c r="A45" t="s">
        <v>99</v>
      </c>
      <c r="B45" s="1">
        <v>45693</v>
      </c>
      <c r="C45" t="s">
        <v>33</v>
      </c>
      <c r="D45" t="s">
        <v>10</v>
      </c>
      <c r="E45">
        <v>7</v>
      </c>
      <c r="F45" t="str">
        <f>_xlfn.XLOOKUP(tblAnalysis[[#This Row],[Product ID]], tblProducts[Product ID], tblProducts[Product Name])</f>
        <v>Keyboard</v>
      </c>
      <c r="G45" t="str">
        <f>_xlfn.XLOOKUP(tblAnalysis[[#This Row],[Product ID]], tblProducts[Product ID], tblProducts[Category])</f>
        <v>Electronics</v>
      </c>
      <c r="H45" s="22">
        <f>_xlfn.XLOOKUP(tblAnalysis[[#This Row],[Product ID]], tblProducts[Product ID], tblProducts[Unit Price])</f>
        <v>40</v>
      </c>
      <c r="I45" s="22">
        <f>_xlfn.XLOOKUP(tblAnalysis[[#This Row],[Product ID]], tblProducts[Product ID], tblProducts[Unit Cost])</f>
        <v>22</v>
      </c>
      <c r="J45" t="str">
        <f>_xlfn.XLOOKUP(tblAnalysis[[#This Row],[Rep ID]], tblReps[Rep ID], tblReps[Sales Rep])</f>
        <v>John</v>
      </c>
      <c r="K45" t="str">
        <f>_xlfn.XLOOKUP(tblAnalysis[[#This Row],[Rep ID]], tblReps[Rep ID], tblReps[Region])</f>
        <v>New York</v>
      </c>
      <c r="L45" s="22">
        <f>tblAnalysis[[#This Row],[Quantity]]*tblAnalysis[[#This Row],[Unit Price]]</f>
        <v>280</v>
      </c>
      <c r="M45" s="22">
        <f>tblAnalysis[[#This Row],[Quantity]]*(tblAnalysis[[#This Row],[Unit Price]]-tblAnalysis[[#This Row],[Unit Cost]])</f>
        <v>126</v>
      </c>
    </row>
    <row r="46" spans="1:13">
      <c r="A46" t="s">
        <v>100</v>
      </c>
      <c r="B46" s="1">
        <v>45693</v>
      </c>
      <c r="C46" t="s">
        <v>41</v>
      </c>
      <c r="D46" t="s">
        <v>10</v>
      </c>
      <c r="E46">
        <v>10</v>
      </c>
      <c r="F46" t="str">
        <f>_xlfn.XLOOKUP(tblAnalysis[[#This Row],[Product ID]], tblProducts[Product ID], tblProducts[Product Name])</f>
        <v>Keyboard</v>
      </c>
      <c r="G46" t="str">
        <f>_xlfn.XLOOKUP(tblAnalysis[[#This Row],[Product ID]], tblProducts[Product ID], tblProducts[Category])</f>
        <v>Electronics</v>
      </c>
      <c r="H46" s="22">
        <f>_xlfn.XLOOKUP(tblAnalysis[[#This Row],[Product ID]], tblProducts[Product ID], tblProducts[Unit Price])</f>
        <v>40</v>
      </c>
      <c r="I46" s="22">
        <f>_xlfn.XLOOKUP(tblAnalysis[[#This Row],[Product ID]], tblProducts[Product ID], tblProducts[Unit Cost])</f>
        <v>22</v>
      </c>
      <c r="J46" t="str">
        <f>_xlfn.XLOOKUP(tblAnalysis[[#This Row],[Rep ID]], tblReps[Rep ID], tblReps[Sales Rep])</f>
        <v>Sarah</v>
      </c>
      <c r="K46" t="str">
        <f>_xlfn.XLOOKUP(tblAnalysis[[#This Row],[Rep ID]], tblReps[Rep ID], tblReps[Region])</f>
        <v>Chicago</v>
      </c>
      <c r="L46" s="22">
        <f>tblAnalysis[[#This Row],[Quantity]]*tblAnalysis[[#This Row],[Unit Price]]</f>
        <v>400</v>
      </c>
      <c r="M46" s="22">
        <f>tblAnalysis[[#This Row],[Quantity]]*(tblAnalysis[[#This Row],[Unit Price]]-tblAnalysis[[#This Row],[Unit Cost]])</f>
        <v>180</v>
      </c>
    </row>
    <row r="47" spans="1:13">
      <c r="A47" t="s">
        <v>101</v>
      </c>
      <c r="B47" s="1">
        <v>45694</v>
      </c>
      <c r="C47" t="s">
        <v>37</v>
      </c>
      <c r="D47" t="s">
        <v>14</v>
      </c>
      <c r="E47">
        <v>4</v>
      </c>
      <c r="F47" t="str">
        <f>_xlfn.XLOOKUP(tblAnalysis[[#This Row],[Product ID]], tblProducts[Product ID], tblProducts[Product Name])</f>
        <v>Blender</v>
      </c>
      <c r="G47" t="str">
        <f>_xlfn.XLOOKUP(tblAnalysis[[#This Row],[Product ID]], tblProducts[Product ID], tblProducts[Category])</f>
        <v>Home &amp; Living</v>
      </c>
      <c r="H47" s="22">
        <f>_xlfn.XLOOKUP(tblAnalysis[[#This Row],[Product ID]], tblProducts[Product ID], tblProducts[Unit Price])</f>
        <v>50</v>
      </c>
      <c r="I47" s="22">
        <f>_xlfn.XLOOKUP(tblAnalysis[[#This Row],[Product ID]], tblProducts[Product ID], tblProducts[Unit Cost])</f>
        <v>30</v>
      </c>
      <c r="J47" t="str">
        <f>_xlfn.XLOOKUP(tblAnalysis[[#This Row],[Rep ID]], tblReps[Rep ID], tblReps[Sales Rep])</f>
        <v>Mike</v>
      </c>
      <c r="K47" t="str">
        <f>_xlfn.XLOOKUP(tblAnalysis[[#This Row],[Rep ID]], tblReps[Rep ID], tblReps[Region])</f>
        <v>Los Angeles</v>
      </c>
      <c r="L47" s="22">
        <f>tblAnalysis[[#This Row],[Quantity]]*tblAnalysis[[#This Row],[Unit Price]]</f>
        <v>200</v>
      </c>
      <c r="M47" s="22">
        <f>tblAnalysis[[#This Row],[Quantity]]*(tblAnalysis[[#This Row],[Unit Price]]-tblAnalysis[[#This Row],[Unit Cost]])</f>
        <v>80</v>
      </c>
    </row>
    <row r="48" spans="1:13">
      <c r="A48" t="s">
        <v>102</v>
      </c>
      <c r="B48" s="1">
        <v>45694</v>
      </c>
      <c r="C48" t="s">
        <v>49</v>
      </c>
      <c r="D48" t="s">
        <v>5</v>
      </c>
      <c r="E48">
        <v>5</v>
      </c>
      <c r="F48" t="str">
        <f>_xlfn.XLOOKUP(tblAnalysis[[#This Row],[Product ID]], tblProducts[Product ID], tblProducts[Product Name])</f>
        <v>Headset</v>
      </c>
      <c r="G48" t="str">
        <f>_xlfn.XLOOKUP(tblAnalysis[[#This Row],[Product ID]], tblProducts[Product ID], tblProducts[Category])</f>
        <v>Electronics</v>
      </c>
      <c r="H48" s="22">
        <f>_xlfn.XLOOKUP(tblAnalysis[[#This Row],[Product ID]], tblProducts[Product ID], tblProducts[Unit Price])</f>
        <v>75</v>
      </c>
      <c r="I48" s="22">
        <f>_xlfn.XLOOKUP(tblAnalysis[[#This Row],[Product ID]], tblProducts[Product ID], tblProducts[Unit Cost])</f>
        <v>45</v>
      </c>
      <c r="J48" t="str">
        <f>_xlfn.XLOOKUP(tblAnalysis[[#This Row],[Rep ID]], tblReps[Rep ID], tblReps[Sales Rep])</f>
        <v>Emma</v>
      </c>
      <c r="K48" t="str">
        <f>_xlfn.XLOOKUP(tblAnalysis[[#This Row],[Rep ID]], tblReps[Rep ID], tblReps[Region])</f>
        <v>Miami</v>
      </c>
      <c r="L48" s="22">
        <f>tblAnalysis[[#This Row],[Quantity]]*tblAnalysis[[#This Row],[Unit Price]]</f>
        <v>375</v>
      </c>
      <c r="M48" s="22">
        <f>tblAnalysis[[#This Row],[Quantity]]*(tblAnalysis[[#This Row],[Unit Price]]-tblAnalysis[[#This Row],[Unit Cost]])</f>
        <v>150</v>
      </c>
    </row>
    <row r="49" spans="1:13">
      <c r="A49" t="s">
        <v>103</v>
      </c>
      <c r="B49" s="1">
        <v>45694</v>
      </c>
      <c r="C49" t="s">
        <v>49</v>
      </c>
      <c r="D49" t="s">
        <v>10</v>
      </c>
      <c r="E49">
        <v>1</v>
      </c>
      <c r="F49" t="str">
        <f>_xlfn.XLOOKUP(tblAnalysis[[#This Row],[Product ID]], tblProducts[Product ID], tblProducts[Product Name])</f>
        <v>Keyboard</v>
      </c>
      <c r="G49" t="str">
        <f>_xlfn.XLOOKUP(tblAnalysis[[#This Row],[Product ID]], tblProducts[Product ID], tblProducts[Category])</f>
        <v>Electronics</v>
      </c>
      <c r="H49" s="22">
        <f>_xlfn.XLOOKUP(tblAnalysis[[#This Row],[Product ID]], tblProducts[Product ID], tblProducts[Unit Price])</f>
        <v>40</v>
      </c>
      <c r="I49" s="22">
        <f>_xlfn.XLOOKUP(tblAnalysis[[#This Row],[Product ID]], tblProducts[Product ID], tblProducts[Unit Cost])</f>
        <v>22</v>
      </c>
      <c r="J49" t="str">
        <f>_xlfn.XLOOKUP(tblAnalysis[[#This Row],[Rep ID]], tblReps[Rep ID], tblReps[Sales Rep])</f>
        <v>Emma</v>
      </c>
      <c r="K49" t="str">
        <f>_xlfn.XLOOKUP(tblAnalysis[[#This Row],[Rep ID]], tblReps[Rep ID], tblReps[Region])</f>
        <v>Miami</v>
      </c>
      <c r="L49" s="22">
        <f>tblAnalysis[[#This Row],[Quantity]]*tblAnalysis[[#This Row],[Unit Price]]</f>
        <v>40</v>
      </c>
      <c r="M49" s="22">
        <f>tblAnalysis[[#This Row],[Quantity]]*(tblAnalysis[[#This Row],[Unit Price]]-tblAnalysis[[#This Row],[Unit Cost]])</f>
        <v>18</v>
      </c>
    </row>
    <row r="50" spans="1:13">
      <c r="A50" t="s">
        <v>104</v>
      </c>
      <c r="B50" s="1">
        <v>45695</v>
      </c>
      <c r="C50" t="s">
        <v>37</v>
      </c>
      <c r="D50" t="s">
        <v>14</v>
      </c>
      <c r="E50">
        <v>7</v>
      </c>
      <c r="F50" t="str">
        <f>_xlfn.XLOOKUP(tblAnalysis[[#This Row],[Product ID]], tblProducts[Product ID], tblProducts[Product Name])</f>
        <v>Blender</v>
      </c>
      <c r="G50" t="str">
        <f>_xlfn.XLOOKUP(tblAnalysis[[#This Row],[Product ID]], tblProducts[Product ID], tblProducts[Category])</f>
        <v>Home &amp; Living</v>
      </c>
      <c r="H50" s="22">
        <f>_xlfn.XLOOKUP(tblAnalysis[[#This Row],[Product ID]], tblProducts[Product ID], tblProducts[Unit Price])</f>
        <v>50</v>
      </c>
      <c r="I50" s="22">
        <f>_xlfn.XLOOKUP(tblAnalysis[[#This Row],[Product ID]], tblProducts[Product ID], tblProducts[Unit Cost])</f>
        <v>30</v>
      </c>
      <c r="J50" t="str">
        <f>_xlfn.XLOOKUP(tblAnalysis[[#This Row],[Rep ID]], tblReps[Rep ID], tblReps[Sales Rep])</f>
        <v>Mike</v>
      </c>
      <c r="K50" t="str">
        <f>_xlfn.XLOOKUP(tblAnalysis[[#This Row],[Rep ID]], tblReps[Rep ID], tblReps[Region])</f>
        <v>Los Angeles</v>
      </c>
      <c r="L50" s="22">
        <f>tblAnalysis[[#This Row],[Quantity]]*tblAnalysis[[#This Row],[Unit Price]]</f>
        <v>350</v>
      </c>
      <c r="M50" s="22">
        <f>tblAnalysis[[#This Row],[Quantity]]*(tblAnalysis[[#This Row],[Unit Price]]-tblAnalysis[[#This Row],[Unit Cost]])</f>
        <v>140</v>
      </c>
    </row>
    <row r="51" spans="1:13">
      <c r="A51" t="s">
        <v>105</v>
      </c>
      <c r="B51" s="1">
        <v>45696</v>
      </c>
      <c r="C51" t="s">
        <v>49</v>
      </c>
      <c r="D51" t="s">
        <v>26</v>
      </c>
      <c r="E51">
        <v>10</v>
      </c>
      <c r="F51" t="str">
        <f>_xlfn.XLOOKUP(tblAnalysis[[#This Row],[Product ID]], tblProducts[Product ID], tblProducts[Product Name])</f>
        <v>Shoes</v>
      </c>
      <c r="G51" t="str">
        <f>_xlfn.XLOOKUP(tblAnalysis[[#This Row],[Product ID]], tblProducts[Product ID], tblProducts[Category])</f>
        <v>Fashion</v>
      </c>
      <c r="H51" s="22">
        <f>_xlfn.XLOOKUP(tblAnalysis[[#This Row],[Product ID]], tblProducts[Product ID], tblProducts[Unit Price])</f>
        <v>75</v>
      </c>
      <c r="I51" s="22">
        <f>_xlfn.XLOOKUP(tblAnalysis[[#This Row],[Product ID]], tblProducts[Product ID], tblProducts[Unit Cost])</f>
        <v>40</v>
      </c>
      <c r="J51" t="str">
        <f>_xlfn.XLOOKUP(tblAnalysis[[#This Row],[Rep ID]], tblReps[Rep ID], tblReps[Sales Rep])</f>
        <v>Emma</v>
      </c>
      <c r="K51" t="str">
        <f>_xlfn.XLOOKUP(tblAnalysis[[#This Row],[Rep ID]], tblReps[Rep ID], tblReps[Region])</f>
        <v>Miami</v>
      </c>
      <c r="L51" s="22">
        <f>tblAnalysis[[#This Row],[Quantity]]*tblAnalysis[[#This Row],[Unit Price]]</f>
        <v>750</v>
      </c>
      <c r="M51" s="22">
        <f>tblAnalysis[[#This Row],[Quantity]]*(tblAnalysis[[#This Row],[Unit Price]]-tblAnalysis[[#This Row],[Unit Cost]])</f>
        <v>350</v>
      </c>
    </row>
    <row r="52" spans="1:13">
      <c r="A52" t="s">
        <v>106</v>
      </c>
      <c r="B52" s="1">
        <v>45696</v>
      </c>
      <c r="C52" t="s">
        <v>45</v>
      </c>
      <c r="D52" t="s">
        <v>8</v>
      </c>
      <c r="E52">
        <v>8</v>
      </c>
      <c r="F52" t="str">
        <f>_xlfn.XLOOKUP(tblAnalysis[[#This Row],[Product ID]], tblProducts[Product ID], tblProducts[Product Name])</f>
        <v>Mouse</v>
      </c>
      <c r="G52" t="str">
        <f>_xlfn.XLOOKUP(tblAnalysis[[#This Row],[Product ID]], tblProducts[Product ID], tblProducts[Category])</f>
        <v>Electronics</v>
      </c>
      <c r="H52" s="22">
        <f>_xlfn.XLOOKUP(tblAnalysis[[#This Row],[Product ID]], tblProducts[Product ID], tblProducts[Unit Price])</f>
        <v>25</v>
      </c>
      <c r="I52" s="22">
        <f>_xlfn.XLOOKUP(tblAnalysis[[#This Row],[Product ID]], tblProducts[Product ID], tblProducts[Unit Cost])</f>
        <v>12</v>
      </c>
      <c r="J52" t="str">
        <f>_xlfn.XLOOKUP(tblAnalysis[[#This Row],[Rep ID]], tblReps[Rep ID], tblReps[Sales Rep])</f>
        <v>David</v>
      </c>
      <c r="K52" t="str">
        <f>_xlfn.XLOOKUP(tblAnalysis[[#This Row],[Rep ID]], tblReps[Rep ID], tblReps[Region])</f>
        <v>Houston</v>
      </c>
      <c r="L52" s="22">
        <f>tblAnalysis[[#This Row],[Quantity]]*tblAnalysis[[#This Row],[Unit Price]]</f>
        <v>200</v>
      </c>
      <c r="M52" s="22">
        <f>tblAnalysis[[#This Row],[Quantity]]*(tblAnalysis[[#This Row],[Unit Price]]-tblAnalysis[[#This Row],[Unit Cost]])</f>
        <v>104</v>
      </c>
    </row>
    <row r="53" spans="1:13">
      <c r="A53" t="s">
        <v>107</v>
      </c>
      <c r="B53" s="1">
        <v>45696</v>
      </c>
      <c r="C53" t="s">
        <v>41</v>
      </c>
      <c r="D53" t="s">
        <v>8</v>
      </c>
      <c r="E53">
        <v>6</v>
      </c>
      <c r="F53" t="str">
        <f>_xlfn.XLOOKUP(tblAnalysis[[#This Row],[Product ID]], tblProducts[Product ID], tblProducts[Product Name])</f>
        <v>Mouse</v>
      </c>
      <c r="G53" t="str">
        <f>_xlfn.XLOOKUP(tblAnalysis[[#This Row],[Product ID]], tblProducts[Product ID], tblProducts[Category])</f>
        <v>Electronics</v>
      </c>
      <c r="H53" s="22">
        <f>_xlfn.XLOOKUP(tblAnalysis[[#This Row],[Product ID]], tblProducts[Product ID], tblProducts[Unit Price])</f>
        <v>25</v>
      </c>
      <c r="I53" s="22">
        <f>_xlfn.XLOOKUP(tblAnalysis[[#This Row],[Product ID]], tblProducts[Product ID], tblProducts[Unit Cost])</f>
        <v>12</v>
      </c>
      <c r="J53" t="str">
        <f>_xlfn.XLOOKUP(tblAnalysis[[#This Row],[Rep ID]], tblReps[Rep ID], tblReps[Sales Rep])</f>
        <v>Sarah</v>
      </c>
      <c r="K53" t="str">
        <f>_xlfn.XLOOKUP(tblAnalysis[[#This Row],[Rep ID]], tblReps[Rep ID], tblReps[Region])</f>
        <v>Chicago</v>
      </c>
      <c r="L53" s="22">
        <f>tblAnalysis[[#This Row],[Quantity]]*tblAnalysis[[#This Row],[Unit Price]]</f>
        <v>150</v>
      </c>
      <c r="M53" s="22">
        <f>tblAnalysis[[#This Row],[Quantity]]*(tblAnalysis[[#This Row],[Unit Price]]-tblAnalysis[[#This Row],[Unit Cost]])</f>
        <v>78</v>
      </c>
    </row>
    <row r="54" spans="1:13">
      <c r="A54" t="s">
        <v>108</v>
      </c>
      <c r="B54" s="1">
        <v>45696</v>
      </c>
      <c r="C54" t="s">
        <v>45</v>
      </c>
      <c r="D54" t="s">
        <v>10</v>
      </c>
      <c r="E54">
        <v>10</v>
      </c>
      <c r="F54" t="str">
        <f>_xlfn.XLOOKUP(tblAnalysis[[#This Row],[Product ID]], tblProducts[Product ID], tblProducts[Product Name])</f>
        <v>Keyboard</v>
      </c>
      <c r="G54" t="str">
        <f>_xlfn.XLOOKUP(tblAnalysis[[#This Row],[Product ID]], tblProducts[Product ID], tblProducts[Category])</f>
        <v>Electronics</v>
      </c>
      <c r="H54" s="22">
        <f>_xlfn.XLOOKUP(tblAnalysis[[#This Row],[Product ID]], tblProducts[Product ID], tblProducts[Unit Price])</f>
        <v>40</v>
      </c>
      <c r="I54" s="22">
        <f>_xlfn.XLOOKUP(tblAnalysis[[#This Row],[Product ID]], tblProducts[Product ID], tblProducts[Unit Cost])</f>
        <v>22</v>
      </c>
      <c r="J54" t="str">
        <f>_xlfn.XLOOKUP(tblAnalysis[[#This Row],[Rep ID]], tblReps[Rep ID], tblReps[Sales Rep])</f>
        <v>David</v>
      </c>
      <c r="K54" t="str">
        <f>_xlfn.XLOOKUP(tblAnalysis[[#This Row],[Rep ID]], tblReps[Rep ID], tblReps[Region])</f>
        <v>Houston</v>
      </c>
      <c r="L54" s="22">
        <f>tblAnalysis[[#This Row],[Quantity]]*tblAnalysis[[#This Row],[Unit Price]]</f>
        <v>400</v>
      </c>
      <c r="M54" s="22">
        <f>tblAnalysis[[#This Row],[Quantity]]*(tblAnalysis[[#This Row],[Unit Price]]-tblAnalysis[[#This Row],[Unit Cost]])</f>
        <v>180</v>
      </c>
    </row>
    <row r="55" spans="1:13">
      <c r="A55" t="s">
        <v>109</v>
      </c>
      <c r="B55" s="1">
        <v>45698</v>
      </c>
      <c r="C55" t="s">
        <v>45</v>
      </c>
      <c r="D55" t="s">
        <v>5</v>
      </c>
      <c r="E55">
        <v>1</v>
      </c>
      <c r="F55" t="str">
        <f>_xlfn.XLOOKUP(tblAnalysis[[#This Row],[Product ID]], tblProducts[Product ID], tblProducts[Product Name])</f>
        <v>Headset</v>
      </c>
      <c r="G55" t="str">
        <f>_xlfn.XLOOKUP(tblAnalysis[[#This Row],[Product ID]], tblProducts[Product ID], tblProducts[Category])</f>
        <v>Electronics</v>
      </c>
      <c r="H55" s="22">
        <f>_xlfn.XLOOKUP(tblAnalysis[[#This Row],[Product ID]], tblProducts[Product ID], tblProducts[Unit Price])</f>
        <v>75</v>
      </c>
      <c r="I55" s="22">
        <f>_xlfn.XLOOKUP(tblAnalysis[[#This Row],[Product ID]], tblProducts[Product ID], tblProducts[Unit Cost])</f>
        <v>45</v>
      </c>
      <c r="J55" t="str">
        <f>_xlfn.XLOOKUP(tblAnalysis[[#This Row],[Rep ID]], tblReps[Rep ID], tblReps[Sales Rep])</f>
        <v>David</v>
      </c>
      <c r="K55" t="str">
        <f>_xlfn.XLOOKUP(tblAnalysis[[#This Row],[Rep ID]], tblReps[Rep ID], tblReps[Region])</f>
        <v>Houston</v>
      </c>
      <c r="L55" s="22">
        <f>tblAnalysis[[#This Row],[Quantity]]*tblAnalysis[[#This Row],[Unit Price]]</f>
        <v>75</v>
      </c>
      <c r="M55" s="22">
        <f>tblAnalysis[[#This Row],[Quantity]]*(tblAnalysis[[#This Row],[Unit Price]]-tblAnalysis[[#This Row],[Unit Cost]])</f>
        <v>30</v>
      </c>
    </row>
    <row r="56" spans="1:13">
      <c r="A56" t="s">
        <v>110</v>
      </c>
      <c r="B56" s="1">
        <v>45698</v>
      </c>
      <c r="C56" t="s">
        <v>37</v>
      </c>
      <c r="D56" t="s">
        <v>21</v>
      </c>
      <c r="E56">
        <v>8</v>
      </c>
      <c r="F56" t="str">
        <f>_xlfn.XLOOKUP(tblAnalysis[[#This Row],[Product ID]], tblProducts[Product ID], tblProducts[Product Name])</f>
        <v>T-Shirt</v>
      </c>
      <c r="G56" t="str">
        <f>_xlfn.XLOOKUP(tblAnalysis[[#This Row],[Product ID]], tblProducts[Product ID], tblProducts[Category])</f>
        <v>Fashion</v>
      </c>
      <c r="H56" s="22">
        <f>_xlfn.XLOOKUP(tblAnalysis[[#This Row],[Product ID]], tblProducts[Product ID], tblProducts[Unit Price])</f>
        <v>20</v>
      </c>
      <c r="I56" s="22">
        <f>_xlfn.XLOOKUP(tblAnalysis[[#This Row],[Product ID]], tblProducts[Product ID], tblProducts[Unit Cost])</f>
        <v>8</v>
      </c>
      <c r="J56" t="str">
        <f>_xlfn.XLOOKUP(tblAnalysis[[#This Row],[Rep ID]], tblReps[Rep ID], tblReps[Sales Rep])</f>
        <v>Mike</v>
      </c>
      <c r="K56" t="str">
        <f>_xlfn.XLOOKUP(tblAnalysis[[#This Row],[Rep ID]], tblReps[Rep ID], tblReps[Region])</f>
        <v>Los Angeles</v>
      </c>
      <c r="L56" s="22">
        <f>tblAnalysis[[#This Row],[Quantity]]*tblAnalysis[[#This Row],[Unit Price]]</f>
        <v>160</v>
      </c>
      <c r="M56" s="22">
        <f>tblAnalysis[[#This Row],[Quantity]]*(tblAnalysis[[#This Row],[Unit Price]]-tblAnalysis[[#This Row],[Unit Cost]])</f>
        <v>96</v>
      </c>
    </row>
    <row r="57" spans="1:13">
      <c r="A57" t="s">
        <v>111</v>
      </c>
      <c r="B57" s="1">
        <v>45699</v>
      </c>
      <c r="C57" t="s">
        <v>33</v>
      </c>
      <c r="D57" t="s">
        <v>24</v>
      </c>
      <c r="E57">
        <v>2</v>
      </c>
      <c r="F57" t="str">
        <f>_xlfn.XLOOKUP(tblAnalysis[[#This Row],[Product ID]], tblProducts[Product ID], tblProducts[Product Name])</f>
        <v>Pants</v>
      </c>
      <c r="G57" t="str">
        <f>_xlfn.XLOOKUP(tblAnalysis[[#This Row],[Product ID]], tblProducts[Product ID], tblProducts[Category])</f>
        <v>Fashion</v>
      </c>
      <c r="H57" s="22">
        <f>_xlfn.XLOOKUP(tblAnalysis[[#This Row],[Product ID]], tblProducts[Product ID], tblProducts[Unit Price])</f>
        <v>40</v>
      </c>
      <c r="I57" s="22">
        <f>_xlfn.XLOOKUP(tblAnalysis[[#This Row],[Product ID]], tblProducts[Product ID], tblProducts[Unit Cost])</f>
        <v>18</v>
      </c>
      <c r="J57" t="str">
        <f>_xlfn.XLOOKUP(tblAnalysis[[#This Row],[Rep ID]], tblReps[Rep ID], tblReps[Sales Rep])</f>
        <v>John</v>
      </c>
      <c r="K57" t="str">
        <f>_xlfn.XLOOKUP(tblAnalysis[[#This Row],[Rep ID]], tblReps[Rep ID], tblReps[Region])</f>
        <v>New York</v>
      </c>
      <c r="L57" s="22">
        <f>tblAnalysis[[#This Row],[Quantity]]*tblAnalysis[[#This Row],[Unit Price]]</f>
        <v>80</v>
      </c>
      <c r="M57" s="22">
        <f>tblAnalysis[[#This Row],[Quantity]]*(tblAnalysis[[#This Row],[Unit Price]]-tblAnalysis[[#This Row],[Unit Cost]])</f>
        <v>44</v>
      </c>
    </row>
    <row r="58" spans="1:13">
      <c r="A58" t="s">
        <v>112</v>
      </c>
      <c r="B58" s="1">
        <v>45699</v>
      </c>
      <c r="C58" t="s">
        <v>49</v>
      </c>
      <c r="D58" t="s">
        <v>17</v>
      </c>
      <c r="E58">
        <v>9</v>
      </c>
      <c r="F58" t="str">
        <f>_xlfn.XLOOKUP(tblAnalysis[[#This Row],[Product ID]], tblProducts[Product ID], tblProducts[Product Name])</f>
        <v>Iron</v>
      </c>
      <c r="G58" t="str">
        <f>_xlfn.XLOOKUP(tblAnalysis[[#This Row],[Product ID]], tblProducts[Product ID], tblProducts[Category])</f>
        <v>Home &amp; Living</v>
      </c>
      <c r="H58" s="22">
        <f>_xlfn.XLOOKUP(tblAnalysis[[#This Row],[Product ID]], tblProducts[Product ID], tblProducts[Unit Price])</f>
        <v>35</v>
      </c>
      <c r="I58" s="22">
        <f>_xlfn.XLOOKUP(tblAnalysis[[#This Row],[Product ID]], tblProducts[Product ID], tblProducts[Unit Cost])</f>
        <v>20</v>
      </c>
      <c r="J58" t="str">
        <f>_xlfn.XLOOKUP(tblAnalysis[[#This Row],[Rep ID]], tblReps[Rep ID], tblReps[Sales Rep])</f>
        <v>Emma</v>
      </c>
      <c r="K58" t="str">
        <f>_xlfn.XLOOKUP(tblAnalysis[[#This Row],[Rep ID]], tblReps[Rep ID], tblReps[Region])</f>
        <v>Miami</v>
      </c>
      <c r="L58" s="22">
        <f>tblAnalysis[[#This Row],[Quantity]]*tblAnalysis[[#This Row],[Unit Price]]</f>
        <v>315</v>
      </c>
      <c r="M58" s="22">
        <f>tblAnalysis[[#This Row],[Quantity]]*(tblAnalysis[[#This Row],[Unit Price]]-tblAnalysis[[#This Row],[Unit Cost]])</f>
        <v>135</v>
      </c>
    </row>
    <row r="59" spans="1:13">
      <c r="A59" t="s">
        <v>113</v>
      </c>
      <c r="B59" s="1">
        <v>45700</v>
      </c>
      <c r="C59" t="s">
        <v>45</v>
      </c>
      <c r="D59" t="s">
        <v>8</v>
      </c>
      <c r="E59">
        <v>4</v>
      </c>
      <c r="F59" t="str">
        <f>_xlfn.XLOOKUP(tblAnalysis[[#This Row],[Product ID]], tblProducts[Product ID], tblProducts[Product Name])</f>
        <v>Mouse</v>
      </c>
      <c r="G59" t="str">
        <f>_xlfn.XLOOKUP(tblAnalysis[[#This Row],[Product ID]], tblProducts[Product ID], tblProducts[Category])</f>
        <v>Electronics</v>
      </c>
      <c r="H59" s="22">
        <f>_xlfn.XLOOKUP(tblAnalysis[[#This Row],[Product ID]], tblProducts[Product ID], tblProducts[Unit Price])</f>
        <v>25</v>
      </c>
      <c r="I59" s="22">
        <f>_xlfn.XLOOKUP(tblAnalysis[[#This Row],[Product ID]], tblProducts[Product ID], tblProducts[Unit Cost])</f>
        <v>12</v>
      </c>
      <c r="J59" t="str">
        <f>_xlfn.XLOOKUP(tblAnalysis[[#This Row],[Rep ID]], tblReps[Rep ID], tblReps[Sales Rep])</f>
        <v>David</v>
      </c>
      <c r="K59" t="str">
        <f>_xlfn.XLOOKUP(tblAnalysis[[#This Row],[Rep ID]], tblReps[Rep ID], tblReps[Region])</f>
        <v>Houston</v>
      </c>
      <c r="L59" s="22">
        <f>tblAnalysis[[#This Row],[Quantity]]*tblAnalysis[[#This Row],[Unit Price]]</f>
        <v>100</v>
      </c>
      <c r="M59" s="22">
        <f>tblAnalysis[[#This Row],[Quantity]]*(tblAnalysis[[#This Row],[Unit Price]]-tblAnalysis[[#This Row],[Unit Cost]])</f>
        <v>52</v>
      </c>
    </row>
    <row r="60" spans="1:13">
      <c r="A60" t="s">
        <v>114</v>
      </c>
      <c r="B60" s="1">
        <v>45701</v>
      </c>
      <c r="C60" t="s">
        <v>41</v>
      </c>
      <c r="D60" t="s">
        <v>10</v>
      </c>
      <c r="E60">
        <v>6</v>
      </c>
      <c r="F60" t="str">
        <f>_xlfn.XLOOKUP(tblAnalysis[[#This Row],[Product ID]], tblProducts[Product ID], tblProducts[Product Name])</f>
        <v>Keyboard</v>
      </c>
      <c r="G60" t="str">
        <f>_xlfn.XLOOKUP(tblAnalysis[[#This Row],[Product ID]], tblProducts[Product ID], tblProducts[Category])</f>
        <v>Electronics</v>
      </c>
      <c r="H60" s="22">
        <f>_xlfn.XLOOKUP(tblAnalysis[[#This Row],[Product ID]], tblProducts[Product ID], tblProducts[Unit Price])</f>
        <v>40</v>
      </c>
      <c r="I60" s="22">
        <f>_xlfn.XLOOKUP(tblAnalysis[[#This Row],[Product ID]], tblProducts[Product ID], tblProducts[Unit Cost])</f>
        <v>22</v>
      </c>
      <c r="J60" t="str">
        <f>_xlfn.XLOOKUP(tblAnalysis[[#This Row],[Rep ID]], tblReps[Rep ID], tblReps[Sales Rep])</f>
        <v>Sarah</v>
      </c>
      <c r="K60" t="str">
        <f>_xlfn.XLOOKUP(tblAnalysis[[#This Row],[Rep ID]], tblReps[Rep ID], tblReps[Region])</f>
        <v>Chicago</v>
      </c>
      <c r="L60" s="22">
        <f>tblAnalysis[[#This Row],[Quantity]]*tblAnalysis[[#This Row],[Unit Price]]</f>
        <v>240</v>
      </c>
      <c r="M60" s="22">
        <f>tblAnalysis[[#This Row],[Quantity]]*(tblAnalysis[[#This Row],[Unit Price]]-tblAnalysis[[#This Row],[Unit Cost]])</f>
        <v>108</v>
      </c>
    </row>
    <row r="61" spans="1:13">
      <c r="A61" t="s">
        <v>115</v>
      </c>
      <c r="B61" s="1">
        <v>45701</v>
      </c>
      <c r="C61" t="s">
        <v>49</v>
      </c>
      <c r="D61" t="s">
        <v>8</v>
      </c>
      <c r="E61">
        <v>10</v>
      </c>
      <c r="F61" t="str">
        <f>_xlfn.XLOOKUP(tblAnalysis[[#This Row],[Product ID]], tblProducts[Product ID], tblProducts[Product Name])</f>
        <v>Mouse</v>
      </c>
      <c r="G61" t="str">
        <f>_xlfn.XLOOKUP(tblAnalysis[[#This Row],[Product ID]], tblProducts[Product ID], tblProducts[Category])</f>
        <v>Electronics</v>
      </c>
      <c r="H61" s="22">
        <f>_xlfn.XLOOKUP(tblAnalysis[[#This Row],[Product ID]], tblProducts[Product ID], tblProducts[Unit Price])</f>
        <v>25</v>
      </c>
      <c r="I61" s="22">
        <f>_xlfn.XLOOKUP(tblAnalysis[[#This Row],[Product ID]], tblProducts[Product ID], tblProducts[Unit Cost])</f>
        <v>12</v>
      </c>
      <c r="J61" t="str">
        <f>_xlfn.XLOOKUP(tblAnalysis[[#This Row],[Rep ID]], tblReps[Rep ID], tblReps[Sales Rep])</f>
        <v>Emma</v>
      </c>
      <c r="K61" t="str">
        <f>_xlfn.XLOOKUP(tblAnalysis[[#This Row],[Rep ID]], tblReps[Rep ID], tblReps[Region])</f>
        <v>Miami</v>
      </c>
      <c r="L61" s="22">
        <f>tblAnalysis[[#This Row],[Quantity]]*tblAnalysis[[#This Row],[Unit Price]]</f>
        <v>250</v>
      </c>
      <c r="M61" s="22">
        <f>tblAnalysis[[#This Row],[Quantity]]*(tblAnalysis[[#This Row],[Unit Price]]-tblAnalysis[[#This Row],[Unit Cost]])</f>
        <v>130</v>
      </c>
    </row>
    <row r="62" spans="1:13">
      <c r="A62" t="s">
        <v>116</v>
      </c>
      <c r="B62" s="1">
        <v>45701</v>
      </c>
      <c r="C62" t="s">
        <v>33</v>
      </c>
      <c r="D62" t="s">
        <v>19</v>
      </c>
      <c r="E62">
        <v>2</v>
      </c>
      <c r="F62" t="str">
        <f>_xlfn.XLOOKUP(tblAnalysis[[#This Row],[Product ID]], tblProducts[Product ID], tblProducts[Product Name])</f>
        <v>Fan</v>
      </c>
      <c r="G62" t="str">
        <f>_xlfn.XLOOKUP(tblAnalysis[[#This Row],[Product ID]], tblProducts[Product ID], tblProducts[Category])</f>
        <v>Home &amp; Living</v>
      </c>
      <c r="H62" s="22">
        <f>_xlfn.XLOOKUP(tblAnalysis[[#This Row],[Product ID]], tblProducts[Product ID], tblProducts[Unit Price])</f>
        <v>45</v>
      </c>
      <c r="I62" s="22">
        <f>_xlfn.XLOOKUP(tblAnalysis[[#This Row],[Product ID]], tblProducts[Product ID], tblProducts[Unit Cost])</f>
        <v>25</v>
      </c>
      <c r="J62" t="str">
        <f>_xlfn.XLOOKUP(tblAnalysis[[#This Row],[Rep ID]], tblReps[Rep ID], tblReps[Sales Rep])</f>
        <v>John</v>
      </c>
      <c r="K62" t="str">
        <f>_xlfn.XLOOKUP(tblAnalysis[[#This Row],[Rep ID]], tblReps[Rep ID], tblReps[Region])</f>
        <v>New York</v>
      </c>
      <c r="L62" s="22">
        <f>tblAnalysis[[#This Row],[Quantity]]*tblAnalysis[[#This Row],[Unit Price]]</f>
        <v>90</v>
      </c>
      <c r="M62" s="22">
        <f>tblAnalysis[[#This Row],[Quantity]]*(tblAnalysis[[#This Row],[Unit Price]]-tblAnalysis[[#This Row],[Unit Cost]])</f>
        <v>40</v>
      </c>
    </row>
    <row r="63" spans="1:13">
      <c r="A63" t="s">
        <v>117</v>
      </c>
      <c r="B63" s="1">
        <v>45702</v>
      </c>
      <c r="C63" t="s">
        <v>33</v>
      </c>
      <c r="D63" t="s">
        <v>14</v>
      </c>
      <c r="E63">
        <v>9</v>
      </c>
      <c r="F63" t="str">
        <f>_xlfn.XLOOKUP(tblAnalysis[[#This Row],[Product ID]], tblProducts[Product ID], tblProducts[Product Name])</f>
        <v>Blender</v>
      </c>
      <c r="G63" t="str">
        <f>_xlfn.XLOOKUP(tblAnalysis[[#This Row],[Product ID]], tblProducts[Product ID], tblProducts[Category])</f>
        <v>Home &amp; Living</v>
      </c>
      <c r="H63" s="22">
        <f>_xlfn.XLOOKUP(tblAnalysis[[#This Row],[Product ID]], tblProducts[Product ID], tblProducts[Unit Price])</f>
        <v>50</v>
      </c>
      <c r="I63" s="22">
        <f>_xlfn.XLOOKUP(tblAnalysis[[#This Row],[Product ID]], tblProducts[Product ID], tblProducts[Unit Cost])</f>
        <v>30</v>
      </c>
      <c r="J63" t="str">
        <f>_xlfn.XLOOKUP(tblAnalysis[[#This Row],[Rep ID]], tblReps[Rep ID], tblReps[Sales Rep])</f>
        <v>John</v>
      </c>
      <c r="K63" t="str">
        <f>_xlfn.XLOOKUP(tblAnalysis[[#This Row],[Rep ID]], tblReps[Rep ID], tblReps[Region])</f>
        <v>New York</v>
      </c>
      <c r="L63" s="22">
        <f>tblAnalysis[[#This Row],[Quantity]]*tblAnalysis[[#This Row],[Unit Price]]</f>
        <v>450</v>
      </c>
      <c r="M63" s="22">
        <f>tblAnalysis[[#This Row],[Quantity]]*(tblAnalysis[[#This Row],[Unit Price]]-tblAnalysis[[#This Row],[Unit Cost]])</f>
        <v>180</v>
      </c>
    </row>
    <row r="64" spans="1:13">
      <c r="A64" t="s">
        <v>118</v>
      </c>
      <c r="B64" s="1">
        <v>45703</v>
      </c>
      <c r="C64" t="s">
        <v>49</v>
      </c>
      <c r="D64" t="s">
        <v>12</v>
      </c>
      <c r="E64">
        <v>6</v>
      </c>
      <c r="F64" t="str">
        <f>_xlfn.XLOOKUP(tblAnalysis[[#This Row],[Product ID]], tblProducts[Product ID], tblProducts[Product Name])</f>
        <v>Webcam</v>
      </c>
      <c r="G64" t="str">
        <f>_xlfn.XLOOKUP(tblAnalysis[[#This Row],[Product ID]], tblProducts[Product ID], tblProducts[Category])</f>
        <v>Electronics</v>
      </c>
      <c r="H64" s="22">
        <f>_xlfn.XLOOKUP(tblAnalysis[[#This Row],[Product ID]], tblProducts[Product ID], tblProducts[Unit Price])</f>
        <v>60</v>
      </c>
      <c r="I64" s="22">
        <f>_xlfn.XLOOKUP(tblAnalysis[[#This Row],[Product ID]], tblProducts[Product ID], tblProducts[Unit Cost])</f>
        <v>35</v>
      </c>
      <c r="J64" t="str">
        <f>_xlfn.XLOOKUP(tblAnalysis[[#This Row],[Rep ID]], tblReps[Rep ID], tblReps[Sales Rep])</f>
        <v>Emma</v>
      </c>
      <c r="K64" t="str">
        <f>_xlfn.XLOOKUP(tblAnalysis[[#This Row],[Rep ID]], tblReps[Rep ID], tblReps[Region])</f>
        <v>Miami</v>
      </c>
      <c r="L64" s="22">
        <f>tblAnalysis[[#This Row],[Quantity]]*tblAnalysis[[#This Row],[Unit Price]]</f>
        <v>360</v>
      </c>
      <c r="M64" s="22">
        <f>tblAnalysis[[#This Row],[Quantity]]*(tblAnalysis[[#This Row],[Unit Price]]-tblAnalysis[[#This Row],[Unit Cost]])</f>
        <v>150</v>
      </c>
    </row>
    <row r="65" spans="1:13">
      <c r="A65" t="s">
        <v>119</v>
      </c>
      <c r="B65" s="1">
        <v>45704</v>
      </c>
      <c r="C65" t="s">
        <v>41</v>
      </c>
      <c r="D65" t="s">
        <v>8</v>
      </c>
      <c r="E65">
        <v>9</v>
      </c>
      <c r="F65" t="str">
        <f>_xlfn.XLOOKUP(tblAnalysis[[#This Row],[Product ID]], tblProducts[Product ID], tblProducts[Product Name])</f>
        <v>Mouse</v>
      </c>
      <c r="G65" t="str">
        <f>_xlfn.XLOOKUP(tblAnalysis[[#This Row],[Product ID]], tblProducts[Product ID], tblProducts[Category])</f>
        <v>Electronics</v>
      </c>
      <c r="H65" s="22">
        <f>_xlfn.XLOOKUP(tblAnalysis[[#This Row],[Product ID]], tblProducts[Product ID], tblProducts[Unit Price])</f>
        <v>25</v>
      </c>
      <c r="I65" s="22">
        <f>_xlfn.XLOOKUP(tblAnalysis[[#This Row],[Product ID]], tblProducts[Product ID], tblProducts[Unit Cost])</f>
        <v>12</v>
      </c>
      <c r="J65" t="str">
        <f>_xlfn.XLOOKUP(tblAnalysis[[#This Row],[Rep ID]], tblReps[Rep ID], tblReps[Sales Rep])</f>
        <v>Sarah</v>
      </c>
      <c r="K65" t="str">
        <f>_xlfn.XLOOKUP(tblAnalysis[[#This Row],[Rep ID]], tblReps[Rep ID], tblReps[Region])</f>
        <v>Chicago</v>
      </c>
      <c r="L65" s="22">
        <f>tblAnalysis[[#This Row],[Quantity]]*tblAnalysis[[#This Row],[Unit Price]]</f>
        <v>225</v>
      </c>
      <c r="M65" s="22">
        <f>tblAnalysis[[#This Row],[Quantity]]*(tblAnalysis[[#This Row],[Unit Price]]-tblAnalysis[[#This Row],[Unit Cost]])</f>
        <v>117</v>
      </c>
    </row>
    <row r="66" spans="1:13">
      <c r="A66" t="s">
        <v>120</v>
      </c>
      <c r="B66" s="1">
        <v>45704</v>
      </c>
      <c r="C66" t="s">
        <v>33</v>
      </c>
      <c r="D66" t="s">
        <v>21</v>
      </c>
      <c r="E66">
        <v>10</v>
      </c>
      <c r="F66" t="str">
        <f>_xlfn.XLOOKUP(tblAnalysis[[#This Row],[Product ID]], tblProducts[Product ID], tblProducts[Product Name])</f>
        <v>T-Shirt</v>
      </c>
      <c r="G66" t="str">
        <f>_xlfn.XLOOKUP(tblAnalysis[[#This Row],[Product ID]], tblProducts[Product ID], tblProducts[Category])</f>
        <v>Fashion</v>
      </c>
      <c r="H66" s="22">
        <f>_xlfn.XLOOKUP(tblAnalysis[[#This Row],[Product ID]], tblProducts[Product ID], tblProducts[Unit Price])</f>
        <v>20</v>
      </c>
      <c r="I66" s="22">
        <f>_xlfn.XLOOKUP(tblAnalysis[[#This Row],[Product ID]], tblProducts[Product ID], tblProducts[Unit Cost])</f>
        <v>8</v>
      </c>
      <c r="J66" t="str">
        <f>_xlfn.XLOOKUP(tblAnalysis[[#This Row],[Rep ID]], tblReps[Rep ID], tblReps[Sales Rep])</f>
        <v>John</v>
      </c>
      <c r="K66" t="str">
        <f>_xlfn.XLOOKUP(tblAnalysis[[#This Row],[Rep ID]], tblReps[Rep ID], tblReps[Region])</f>
        <v>New York</v>
      </c>
      <c r="L66" s="22">
        <f>tblAnalysis[[#This Row],[Quantity]]*tblAnalysis[[#This Row],[Unit Price]]</f>
        <v>200</v>
      </c>
      <c r="M66" s="22">
        <f>tblAnalysis[[#This Row],[Quantity]]*(tblAnalysis[[#This Row],[Unit Price]]-tblAnalysis[[#This Row],[Unit Cost]])</f>
        <v>120</v>
      </c>
    </row>
    <row r="67" spans="1:13">
      <c r="A67" t="s">
        <v>121</v>
      </c>
      <c r="B67" s="1">
        <v>45705</v>
      </c>
      <c r="C67" t="s">
        <v>49</v>
      </c>
      <c r="D67" t="s">
        <v>24</v>
      </c>
      <c r="E67">
        <v>1</v>
      </c>
      <c r="F67" t="str">
        <f>_xlfn.XLOOKUP(tblAnalysis[[#This Row],[Product ID]], tblProducts[Product ID], tblProducts[Product Name])</f>
        <v>Pants</v>
      </c>
      <c r="G67" t="str">
        <f>_xlfn.XLOOKUP(tblAnalysis[[#This Row],[Product ID]], tblProducts[Product ID], tblProducts[Category])</f>
        <v>Fashion</v>
      </c>
      <c r="H67" s="22">
        <f>_xlfn.XLOOKUP(tblAnalysis[[#This Row],[Product ID]], tblProducts[Product ID], tblProducts[Unit Price])</f>
        <v>40</v>
      </c>
      <c r="I67" s="22">
        <f>_xlfn.XLOOKUP(tblAnalysis[[#This Row],[Product ID]], tblProducts[Product ID], tblProducts[Unit Cost])</f>
        <v>18</v>
      </c>
      <c r="J67" t="str">
        <f>_xlfn.XLOOKUP(tblAnalysis[[#This Row],[Rep ID]], tblReps[Rep ID], tblReps[Sales Rep])</f>
        <v>Emma</v>
      </c>
      <c r="K67" t="str">
        <f>_xlfn.XLOOKUP(tblAnalysis[[#This Row],[Rep ID]], tblReps[Rep ID], tblReps[Region])</f>
        <v>Miami</v>
      </c>
      <c r="L67" s="22">
        <f>tblAnalysis[[#This Row],[Quantity]]*tblAnalysis[[#This Row],[Unit Price]]</f>
        <v>40</v>
      </c>
      <c r="M67" s="22">
        <f>tblAnalysis[[#This Row],[Quantity]]*(tblAnalysis[[#This Row],[Unit Price]]-tblAnalysis[[#This Row],[Unit Cost]])</f>
        <v>22</v>
      </c>
    </row>
    <row r="68" spans="1:13">
      <c r="A68" t="s">
        <v>122</v>
      </c>
      <c r="B68" s="1">
        <v>45705</v>
      </c>
      <c r="C68" t="s">
        <v>37</v>
      </c>
      <c r="D68" t="s">
        <v>17</v>
      </c>
      <c r="E68">
        <v>5</v>
      </c>
      <c r="F68" t="str">
        <f>_xlfn.XLOOKUP(tblAnalysis[[#This Row],[Product ID]], tblProducts[Product ID], tblProducts[Product Name])</f>
        <v>Iron</v>
      </c>
      <c r="G68" t="str">
        <f>_xlfn.XLOOKUP(tblAnalysis[[#This Row],[Product ID]], tblProducts[Product ID], tblProducts[Category])</f>
        <v>Home &amp; Living</v>
      </c>
      <c r="H68" s="22">
        <f>_xlfn.XLOOKUP(tblAnalysis[[#This Row],[Product ID]], tblProducts[Product ID], tblProducts[Unit Price])</f>
        <v>35</v>
      </c>
      <c r="I68" s="22">
        <f>_xlfn.XLOOKUP(tblAnalysis[[#This Row],[Product ID]], tblProducts[Product ID], tblProducts[Unit Cost])</f>
        <v>20</v>
      </c>
      <c r="J68" t="str">
        <f>_xlfn.XLOOKUP(tblAnalysis[[#This Row],[Rep ID]], tblReps[Rep ID], tblReps[Sales Rep])</f>
        <v>Mike</v>
      </c>
      <c r="K68" t="str">
        <f>_xlfn.XLOOKUP(tblAnalysis[[#This Row],[Rep ID]], tblReps[Rep ID], tblReps[Region])</f>
        <v>Los Angeles</v>
      </c>
      <c r="L68" s="22">
        <f>tblAnalysis[[#This Row],[Quantity]]*tblAnalysis[[#This Row],[Unit Price]]</f>
        <v>175</v>
      </c>
      <c r="M68" s="22">
        <f>tblAnalysis[[#This Row],[Quantity]]*(tblAnalysis[[#This Row],[Unit Price]]-tblAnalysis[[#This Row],[Unit Cost]])</f>
        <v>75</v>
      </c>
    </row>
    <row r="69" spans="1:13">
      <c r="A69" t="s">
        <v>123</v>
      </c>
      <c r="B69" s="1">
        <v>45706</v>
      </c>
      <c r="C69" t="s">
        <v>49</v>
      </c>
      <c r="D69" t="s">
        <v>12</v>
      </c>
      <c r="E69">
        <v>1</v>
      </c>
      <c r="F69" t="str">
        <f>_xlfn.XLOOKUP(tblAnalysis[[#This Row],[Product ID]], tblProducts[Product ID], tblProducts[Product Name])</f>
        <v>Webcam</v>
      </c>
      <c r="G69" t="str">
        <f>_xlfn.XLOOKUP(tblAnalysis[[#This Row],[Product ID]], tblProducts[Product ID], tblProducts[Category])</f>
        <v>Electronics</v>
      </c>
      <c r="H69" s="22">
        <f>_xlfn.XLOOKUP(tblAnalysis[[#This Row],[Product ID]], tblProducts[Product ID], tblProducts[Unit Price])</f>
        <v>60</v>
      </c>
      <c r="I69" s="22">
        <f>_xlfn.XLOOKUP(tblAnalysis[[#This Row],[Product ID]], tblProducts[Product ID], tblProducts[Unit Cost])</f>
        <v>35</v>
      </c>
      <c r="J69" t="str">
        <f>_xlfn.XLOOKUP(tblAnalysis[[#This Row],[Rep ID]], tblReps[Rep ID], tblReps[Sales Rep])</f>
        <v>Emma</v>
      </c>
      <c r="K69" t="str">
        <f>_xlfn.XLOOKUP(tblAnalysis[[#This Row],[Rep ID]], tblReps[Rep ID], tblReps[Region])</f>
        <v>Miami</v>
      </c>
      <c r="L69" s="22">
        <f>tblAnalysis[[#This Row],[Quantity]]*tblAnalysis[[#This Row],[Unit Price]]</f>
        <v>60</v>
      </c>
      <c r="M69" s="22">
        <f>tblAnalysis[[#This Row],[Quantity]]*(tblAnalysis[[#This Row],[Unit Price]]-tblAnalysis[[#This Row],[Unit Cost]])</f>
        <v>25</v>
      </c>
    </row>
    <row r="70" spans="1:13">
      <c r="A70" t="s">
        <v>124</v>
      </c>
      <c r="B70" s="1">
        <v>45706</v>
      </c>
      <c r="C70" t="s">
        <v>49</v>
      </c>
      <c r="D70" t="s">
        <v>17</v>
      </c>
      <c r="E70">
        <v>2</v>
      </c>
      <c r="F70" t="str">
        <f>_xlfn.XLOOKUP(tblAnalysis[[#This Row],[Product ID]], tblProducts[Product ID], tblProducts[Product Name])</f>
        <v>Iron</v>
      </c>
      <c r="G70" t="str">
        <f>_xlfn.XLOOKUP(tblAnalysis[[#This Row],[Product ID]], tblProducts[Product ID], tblProducts[Category])</f>
        <v>Home &amp; Living</v>
      </c>
      <c r="H70" s="22">
        <f>_xlfn.XLOOKUP(tblAnalysis[[#This Row],[Product ID]], tblProducts[Product ID], tblProducts[Unit Price])</f>
        <v>35</v>
      </c>
      <c r="I70" s="22">
        <f>_xlfn.XLOOKUP(tblAnalysis[[#This Row],[Product ID]], tblProducts[Product ID], tblProducts[Unit Cost])</f>
        <v>20</v>
      </c>
      <c r="J70" t="str">
        <f>_xlfn.XLOOKUP(tblAnalysis[[#This Row],[Rep ID]], tblReps[Rep ID], tblReps[Sales Rep])</f>
        <v>Emma</v>
      </c>
      <c r="K70" t="str">
        <f>_xlfn.XLOOKUP(tblAnalysis[[#This Row],[Rep ID]], tblReps[Rep ID], tblReps[Region])</f>
        <v>Miami</v>
      </c>
      <c r="L70" s="22">
        <f>tblAnalysis[[#This Row],[Quantity]]*tblAnalysis[[#This Row],[Unit Price]]</f>
        <v>70</v>
      </c>
      <c r="M70" s="22">
        <f>tblAnalysis[[#This Row],[Quantity]]*(tblAnalysis[[#This Row],[Unit Price]]-tblAnalysis[[#This Row],[Unit Cost]])</f>
        <v>30</v>
      </c>
    </row>
    <row r="71" spans="1:13">
      <c r="A71" t="s">
        <v>125</v>
      </c>
      <c r="B71" s="1">
        <v>45707</v>
      </c>
      <c r="C71" t="s">
        <v>45</v>
      </c>
      <c r="D71" t="s">
        <v>12</v>
      </c>
      <c r="E71">
        <v>8</v>
      </c>
      <c r="F71" t="str">
        <f>_xlfn.XLOOKUP(tblAnalysis[[#This Row],[Product ID]], tblProducts[Product ID], tblProducts[Product Name])</f>
        <v>Webcam</v>
      </c>
      <c r="G71" t="str">
        <f>_xlfn.XLOOKUP(tblAnalysis[[#This Row],[Product ID]], tblProducts[Product ID], tblProducts[Category])</f>
        <v>Electronics</v>
      </c>
      <c r="H71" s="22">
        <f>_xlfn.XLOOKUP(tblAnalysis[[#This Row],[Product ID]], tblProducts[Product ID], tblProducts[Unit Price])</f>
        <v>60</v>
      </c>
      <c r="I71" s="22">
        <f>_xlfn.XLOOKUP(tblAnalysis[[#This Row],[Product ID]], tblProducts[Product ID], tblProducts[Unit Cost])</f>
        <v>35</v>
      </c>
      <c r="J71" t="str">
        <f>_xlfn.XLOOKUP(tblAnalysis[[#This Row],[Rep ID]], tblReps[Rep ID], tblReps[Sales Rep])</f>
        <v>David</v>
      </c>
      <c r="K71" t="str">
        <f>_xlfn.XLOOKUP(tblAnalysis[[#This Row],[Rep ID]], tblReps[Rep ID], tblReps[Region])</f>
        <v>Houston</v>
      </c>
      <c r="L71" s="22">
        <f>tblAnalysis[[#This Row],[Quantity]]*tblAnalysis[[#This Row],[Unit Price]]</f>
        <v>480</v>
      </c>
      <c r="M71" s="22">
        <f>tblAnalysis[[#This Row],[Quantity]]*(tblAnalysis[[#This Row],[Unit Price]]-tblAnalysis[[#This Row],[Unit Cost]])</f>
        <v>200</v>
      </c>
    </row>
    <row r="72" spans="1:13">
      <c r="A72" t="s">
        <v>126</v>
      </c>
      <c r="B72" s="1">
        <v>45708</v>
      </c>
      <c r="C72" t="s">
        <v>49</v>
      </c>
      <c r="D72" t="s">
        <v>5</v>
      </c>
      <c r="E72">
        <v>9</v>
      </c>
      <c r="F72" t="str">
        <f>_xlfn.XLOOKUP(tblAnalysis[[#This Row],[Product ID]], tblProducts[Product ID], tblProducts[Product Name])</f>
        <v>Headset</v>
      </c>
      <c r="G72" t="str">
        <f>_xlfn.XLOOKUP(tblAnalysis[[#This Row],[Product ID]], tblProducts[Product ID], tblProducts[Category])</f>
        <v>Electronics</v>
      </c>
      <c r="H72" s="22">
        <f>_xlfn.XLOOKUP(tblAnalysis[[#This Row],[Product ID]], tblProducts[Product ID], tblProducts[Unit Price])</f>
        <v>75</v>
      </c>
      <c r="I72" s="22">
        <f>_xlfn.XLOOKUP(tblAnalysis[[#This Row],[Product ID]], tblProducts[Product ID], tblProducts[Unit Cost])</f>
        <v>45</v>
      </c>
      <c r="J72" t="str">
        <f>_xlfn.XLOOKUP(tblAnalysis[[#This Row],[Rep ID]], tblReps[Rep ID], tblReps[Sales Rep])</f>
        <v>Emma</v>
      </c>
      <c r="K72" t="str">
        <f>_xlfn.XLOOKUP(tblAnalysis[[#This Row],[Rep ID]], tblReps[Rep ID], tblReps[Region])</f>
        <v>Miami</v>
      </c>
      <c r="L72" s="22">
        <f>tblAnalysis[[#This Row],[Quantity]]*tblAnalysis[[#This Row],[Unit Price]]</f>
        <v>675</v>
      </c>
      <c r="M72" s="22">
        <f>tblAnalysis[[#This Row],[Quantity]]*(tblAnalysis[[#This Row],[Unit Price]]-tblAnalysis[[#This Row],[Unit Cost]])</f>
        <v>270</v>
      </c>
    </row>
    <row r="73" spans="1:13">
      <c r="A73" t="s">
        <v>127</v>
      </c>
      <c r="B73" s="1">
        <v>45708</v>
      </c>
      <c r="C73" t="s">
        <v>41</v>
      </c>
      <c r="D73" t="s">
        <v>5</v>
      </c>
      <c r="E73">
        <v>1</v>
      </c>
      <c r="F73" t="str">
        <f>_xlfn.XLOOKUP(tblAnalysis[[#This Row],[Product ID]], tblProducts[Product ID], tblProducts[Product Name])</f>
        <v>Headset</v>
      </c>
      <c r="G73" t="str">
        <f>_xlfn.XLOOKUP(tblAnalysis[[#This Row],[Product ID]], tblProducts[Product ID], tblProducts[Category])</f>
        <v>Electronics</v>
      </c>
      <c r="H73" s="22">
        <f>_xlfn.XLOOKUP(tblAnalysis[[#This Row],[Product ID]], tblProducts[Product ID], tblProducts[Unit Price])</f>
        <v>75</v>
      </c>
      <c r="I73" s="22">
        <f>_xlfn.XLOOKUP(tblAnalysis[[#This Row],[Product ID]], tblProducts[Product ID], tblProducts[Unit Cost])</f>
        <v>45</v>
      </c>
      <c r="J73" t="str">
        <f>_xlfn.XLOOKUP(tblAnalysis[[#This Row],[Rep ID]], tblReps[Rep ID], tblReps[Sales Rep])</f>
        <v>Sarah</v>
      </c>
      <c r="K73" t="str">
        <f>_xlfn.XLOOKUP(tblAnalysis[[#This Row],[Rep ID]], tblReps[Rep ID], tblReps[Region])</f>
        <v>Chicago</v>
      </c>
      <c r="L73" s="22">
        <f>tblAnalysis[[#This Row],[Quantity]]*tblAnalysis[[#This Row],[Unit Price]]</f>
        <v>75</v>
      </c>
      <c r="M73" s="22">
        <f>tblAnalysis[[#This Row],[Quantity]]*(tblAnalysis[[#This Row],[Unit Price]]-tblAnalysis[[#This Row],[Unit Cost]])</f>
        <v>30</v>
      </c>
    </row>
    <row r="74" spans="1:13">
      <c r="A74" t="s">
        <v>128</v>
      </c>
      <c r="B74" s="1">
        <v>45708</v>
      </c>
      <c r="C74" t="s">
        <v>49</v>
      </c>
      <c r="D74" t="s">
        <v>5</v>
      </c>
      <c r="E74">
        <v>3</v>
      </c>
      <c r="F74" t="str">
        <f>_xlfn.XLOOKUP(tblAnalysis[[#This Row],[Product ID]], tblProducts[Product ID], tblProducts[Product Name])</f>
        <v>Headset</v>
      </c>
      <c r="G74" t="str">
        <f>_xlfn.XLOOKUP(tblAnalysis[[#This Row],[Product ID]], tblProducts[Product ID], tblProducts[Category])</f>
        <v>Electronics</v>
      </c>
      <c r="H74" s="22">
        <f>_xlfn.XLOOKUP(tblAnalysis[[#This Row],[Product ID]], tblProducts[Product ID], tblProducts[Unit Price])</f>
        <v>75</v>
      </c>
      <c r="I74" s="22">
        <f>_xlfn.XLOOKUP(tblAnalysis[[#This Row],[Product ID]], tblProducts[Product ID], tblProducts[Unit Cost])</f>
        <v>45</v>
      </c>
      <c r="J74" t="str">
        <f>_xlfn.XLOOKUP(tblAnalysis[[#This Row],[Rep ID]], tblReps[Rep ID], tblReps[Sales Rep])</f>
        <v>Emma</v>
      </c>
      <c r="K74" t="str">
        <f>_xlfn.XLOOKUP(tblAnalysis[[#This Row],[Rep ID]], tblReps[Rep ID], tblReps[Region])</f>
        <v>Miami</v>
      </c>
      <c r="L74" s="22">
        <f>tblAnalysis[[#This Row],[Quantity]]*tblAnalysis[[#This Row],[Unit Price]]</f>
        <v>225</v>
      </c>
      <c r="M74" s="22">
        <f>tblAnalysis[[#This Row],[Quantity]]*(tblAnalysis[[#This Row],[Unit Price]]-tblAnalysis[[#This Row],[Unit Cost]])</f>
        <v>90</v>
      </c>
    </row>
    <row r="75" spans="1:13">
      <c r="A75" t="s">
        <v>129</v>
      </c>
      <c r="B75" s="1">
        <v>45709</v>
      </c>
      <c r="C75" t="s">
        <v>45</v>
      </c>
      <c r="D75" t="s">
        <v>21</v>
      </c>
      <c r="E75">
        <v>8</v>
      </c>
      <c r="F75" t="str">
        <f>_xlfn.XLOOKUP(tblAnalysis[[#This Row],[Product ID]], tblProducts[Product ID], tblProducts[Product Name])</f>
        <v>T-Shirt</v>
      </c>
      <c r="G75" t="str">
        <f>_xlfn.XLOOKUP(tblAnalysis[[#This Row],[Product ID]], tblProducts[Product ID], tblProducts[Category])</f>
        <v>Fashion</v>
      </c>
      <c r="H75" s="22">
        <f>_xlfn.XLOOKUP(tblAnalysis[[#This Row],[Product ID]], tblProducts[Product ID], tblProducts[Unit Price])</f>
        <v>20</v>
      </c>
      <c r="I75" s="22">
        <f>_xlfn.XLOOKUP(tblAnalysis[[#This Row],[Product ID]], tblProducts[Product ID], tblProducts[Unit Cost])</f>
        <v>8</v>
      </c>
      <c r="J75" t="str">
        <f>_xlfn.XLOOKUP(tblAnalysis[[#This Row],[Rep ID]], tblReps[Rep ID], tblReps[Sales Rep])</f>
        <v>David</v>
      </c>
      <c r="K75" t="str">
        <f>_xlfn.XLOOKUP(tblAnalysis[[#This Row],[Rep ID]], tblReps[Rep ID], tblReps[Region])</f>
        <v>Houston</v>
      </c>
      <c r="L75" s="22">
        <f>tblAnalysis[[#This Row],[Quantity]]*tblAnalysis[[#This Row],[Unit Price]]</f>
        <v>160</v>
      </c>
      <c r="M75" s="22">
        <f>tblAnalysis[[#This Row],[Quantity]]*(tblAnalysis[[#This Row],[Unit Price]]-tblAnalysis[[#This Row],[Unit Cost]])</f>
        <v>96</v>
      </c>
    </row>
    <row r="76" spans="1:13">
      <c r="A76" t="s">
        <v>130</v>
      </c>
      <c r="B76" s="1">
        <v>45709</v>
      </c>
      <c r="C76" t="s">
        <v>33</v>
      </c>
      <c r="D76" t="s">
        <v>5</v>
      </c>
      <c r="E76">
        <v>7</v>
      </c>
      <c r="F76" t="str">
        <f>_xlfn.XLOOKUP(tblAnalysis[[#This Row],[Product ID]], tblProducts[Product ID], tblProducts[Product Name])</f>
        <v>Headset</v>
      </c>
      <c r="G76" t="str">
        <f>_xlfn.XLOOKUP(tblAnalysis[[#This Row],[Product ID]], tblProducts[Product ID], tblProducts[Category])</f>
        <v>Electronics</v>
      </c>
      <c r="H76" s="22">
        <f>_xlfn.XLOOKUP(tblAnalysis[[#This Row],[Product ID]], tblProducts[Product ID], tblProducts[Unit Price])</f>
        <v>75</v>
      </c>
      <c r="I76" s="22">
        <f>_xlfn.XLOOKUP(tblAnalysis[[#This Row],[Product ID]], tblProducts[Product ID], tblProducts[Unit Cost])</f>
        <v>45</v>
      </c>
      <c r="J76" t="str">
        <f>_xlfn.XLOOKUP(tblAnalysis[[#This Row],[Rep ID]], tblReps[Rep ID], tblReps[Sales Rep])</f>
        <v>John</v>
      </c>
      <c r="K76" t="str">
        <f>_xlfn.XLOOKUP(tblAnalysis[[#This Row],[Rep ID]], tblReps[Rep ID], tblReps[Region])</f>
        <v>New York</v>
      </c>
      <c r="L76" s="22">
        <f>tblAnalysis[[#This Row],[Quantity]]*tblAnalysis[[#This Row],[Unit Price]]</f>
        <v>525</v>
      </c>
      <c r="M76" s="22">
        <f>tblAnalysis[[#This Row],[Quantity]]*(tblAnalysis[[#This Row],[Unit Price]]-tblAnalysis[[#This Row],[Unit Cost]])</f>
        <v>210</v>
      </c>
    </row>
    <row r="77" spans="1:13">
      <c r="A77" t="s">
        <v>131</v>
      </c>
      <c r="B77" s="1">
        <v>45709</v>
      </c>
      <c r="C77" t="s">
        <v>49</v>
      </c>
      <c r="D77" t="s">
        <v>8</v>
      </c>
      <c r="E77">
        <v>2</v>
      </c>
      <c r="F77" t="str">
        <f>_xlfn.XLOOKUP(tblAnalysis[[#This Row],[Product ID]], tblProducts[Product ID], tblProducts[Product Name])</f>
        <v>Mouse</v>
      </c>
      <c r="G77" t="str">
        <f>_xlfn.XLOOKUP(tblAnalysis[[#This Row],[Product ID]], tblProducts[Product ID], tblProducts[Category])</f>
        <v>Electronics</v>
      </c>
      <c r="H77" s="22">
        <f>_xlfn.XLOOKUP(tblAnalysis[[#This Row],[Product ID]], tblProducts[Product ID], tblProducts[Unit Price])</f>
        <v>25</v>
      </c>
      <c r="I77" s="22">
        <f>_xlfn.XLOOKUP(tblAnalysis[[#This Row],[Product ID]], tblProducts[Product ID], tblProducts[Unit Cost])</f>
        <v>12</v>
      </c>
      <c r="J77" t="str">
        <f>_xlfn.XLOOKUP(tblAnalysis[[#This Row],[Rep ID]], tblReps[Rep ID], tblReps[Sales Rep])</f>
        <v>Emma</v>
      </c>
      <c r="K77" t="str">
        <f>_xlfn.XLOOKUP(tblAnalysis[[#This Row],[Rep ID]], tblReps[Rep ID], tblReps[Region])</f>
        <v>Miami</v>
      </c>
      <c r="L77" s="22">
        <f>tblAnalysis[[#This Row],[Quantity]]*tblAnalysis[[#This Row],[Unit Price]]</f>
        <v>50</v>
      </c>
      <c r="M77" s="22">
        <f>tblAnalysis[[#This Row],[Quantity]]*(tblAnalysis[[#This Row],[Unit Price]]-tblAnalysis[[#This Row],[Unit Cost]])</f>
        <v>26</v>
      </c>
    </row>
    <row r="78" spans="1:13">
      <c r="A78" t="s">
        <v>132</v>
      </c>
      <c r="B78" s="1">
        <v>45710</v>
      </c>
      <c r="C78" t="s">
        <v>37</v>
      </c>
      <c r="D78" t="s">
        <v>8</v>
      </c>
      <c r="E78">
        <v>2</v>
      </c>
      <c r="F78" t="str">
        <f>_xlfn.XLOOKUP(tblAnalysis[[#This Row],[Product ID]], tblProducts[Product ID], tblProducts[Product Name])</f>
        <v>Mouse</v>
      </c>
      <c r="G78" t="str">
        <f>_xlfn.XLOOKUP(tblAnalysis[[#This Row],[Product ID]], tblProducts[Product ID], tblProducts[Category])</f>
        <v>Electronics</v>
      </c>
      <c r="H78" s="22">
        <f>_xlfn.XLOOKUP(tblAnalysis[[#This Row],[Product ID]], tblProducts[Product ID], tblProducts[Unit Price])</f>
        <v>25</v>
      </c>
      <c r="I78" s="22">
        <f>_xlfn.XLOOKUP(tblAnalysis[[#This Row],[Product ID]], tblProducts[Product ID], tblProducts[Unit Cost])</f>
        <v>12</v>
      </c>
      <c r="J78" t="str">
        <f>_xlfn.XLOOKUP(tblAnalysis[[#This Row],[Rep ID]], tblReps[Rep ID], tblReps[Sales Rep])</f>
        <v>Mike</v>
      </c>
      <c r="K78" t="str">
        <f>_xlfn.XLOOKUP(tblAnalysis[[#This Row],[Rep ID]], tblReps[Rep ID], tblReps[Region])</f>
        <v>Los Angeles</v>
      </c>
      <c r="L78" s="22">
        <f>tblAnalysis[[#This Row],[Quantity]]*tblAnalysis[[#This Row],[Unit Price]]</f>
        <v>50</v>
      </c>
      <c r="M78" s="22">
        <f>tblAnalysis[[#This Row],[Quantity]]*(tblAnalysis[[#This Row],[Unit Price]]-tblAnalysis[[#This Row],[Unit Cost]])</f>
        <v>26</v>
      </c>
    </row>
    <row r="79" spans="1:13">
      <c r="A79" t="s">
        <v>133</v>
      </c>
      <c r="B79" s="1">
        <v>45710</v>
      </c>
      <c r="C79" t="s">
        <v>33</v>
      </c>
      <c r="D79" t="s">
        <v>21</v>
      </c>
      <c r="E79">
        <v>8</v>
      </c>
      <c r="F79" t="str">
        <f>_xlfn.XLOOKUP(tblAnalysis[[#This Row],[Product ID]], tblProducts[Product ID], tblProducts[Product Name])</f>
        <v>T-Shirt</v>
      </c>
      <c r="G79" t="str">
        <f>_xlfn.XLOOKUP(tblAnalysis[[#This Row],[Product ID]], tblProducts[Product ID], tblProducts[Category])</f>
        <v>Fashion</v>
      </c>
      <c r="H79" s="22">
        <f>_xlfn.XLOOKUP(tblAnalysis[[#This Row],[Product ID]], tblProducts[Product ID], tblProducts[Unit Price])</f>
        <v>20</v>
      </c>
      <c r="I79" s="22">
        <f>_xlfn.XLOOKUP(tblAnalysis[[#This Row],[Product ID]], tblProducts[Product ID], tblProducts[Unit Cost])</f>
        <v>8</v>
      </c>
      <c r="J79" t="str">
        <f>_xlfn.XLOOKUP(tblAnalysis[[#This Row],[Rep ID]], tblReps[Rep ID], tblReps[Sales Rep])</f>
        <v>John</v>
      </c>
      <c r="K79" t="str">
        <f>_xlfn.XLOOKUP(tblAnalysis[[#This Row],[Rep ID]], tblReps[Rep ID], tblReps[Region])</f>
        <v>New York</v>
      </c>
      <c r="L79" s="22">
        <f>tblAnalysis[[#This Row],[Quantity]]*tblAnalysis[[#This Row],[Unit Price]]</f>
        <v>160</v>
      </c>
      <c r="M79" s="22">
        <f>tblAnalysis[[#This Row],[Quantity]]*(tblAnalysis[[#This Row],[Unit Price]]-tblAnalysis[[#This Row],[Unit Cost]])</f>
        <v>96</v>
      </c>
    </row>
    <row r="80" spans="1:13">
      <c r="A80" t="s">
        <v>134</v>
      </c>
      <c r="B80" s="1">
        <v>45710</v>
      </c>
      <c r="C80" t="s">
        <v>41</v>
      </c>
      <c r="D80" t="s">
        <v>21</v>
      </c>
      <c r="E80">
        <v>1</v>
      </c>
      <c r="F80" t="str">
        <f>_xlfn.XLOOKUP(tblAnalysis[[#This Row],[Product ID]], tblProducts[Product ID], tblProducts[Product Name])</f>
        <v>T-Shirt</v>
      </c>
      <c r="G80" t="str">
        <f>_xlfn.XLOOKUP(tblAnalysis[[#This Row],[Product ID]], tblProducts[Product ID], tblProducts[Category])</f>
        <v>Fashion</v>
      </c>
      <c r="H80" s="22">
        <f>_xlfn.XLOOKUP(tblAnalysis[[#This Row],[Product ID]], tblProducts[Product ID], tblProducts[Unit Price])</f>
        <v>20</v>
      </c>
      <c r="I80" s="22">
        <f>_xlfn.XLOOKUP(tblAnalysis[[#This Row],[Product ID]], tblProducts[Product ID], tblProducts[Unit Cost])</f>
        <v>8</v>
      </c>
      <c r="J80" t="str">
        <f>_xlfn.XLOOKUP(tblAnalysis[[#This Row],[Rep ID]], tblReps[Rep ID], tblReps[Sales Rep])</f>
        <v>Sarah</v>
      </c>
      <c r="K80" t="str">
        <f>_xlfn.XLOOKUP(tblAnalysis[[#This Row],[Rep ID]], tblReps[Rep ID], tblReps[Region])</f>
        <v>Chicago</v>
      </c>
      <c r="L80" s="22">
        <f>tblAnalysis[[#This Row],[Quantity]]*tblAnalysis[[#This Row],[Unit Price]]</f>
        <v>20</v>
      </c>
      <c r="M80" s="22">
        <f>tblAnalysis[[#This Row],[Quantity]]*(tblAnalysis[[#This Row],[Unit Price]]-tblAnalysis[[#This Row],[Unit Cost]])</f>
        <v>12</v>
      </c>
    </row>
    <row r="81" spans="1:13">
      <c r="A81" t="s">
        <v>135</v>
      </c>
      <c r="B81" s="1">
        <v>45710</v>
      </c>
      <c r="C81" t="s">
        <v>33</v>
      </c>
      <c r="D81" t="s">
        <v>5</v>
      </c>
      <c r="E81">
        <v>7</v>
      </c>
      <c r="F81" t="str">
        <f>_xlfn.XLOOKUP(tblAnalysis[[#This Row],[Product ID]], tblProducts[Product ID], tblProducts[Product Name])</f>
        <v>Headset</v>
      </c>
      <c r="G81" t="str">
        <f>_xlfn.XLOOKUP(tblAnalysis[[#This Row],[Product ID]], tblProducts[Product ID], tblProducts[Category])</f>
        <v>Electronics</v>
      </c>
      <c r="H81" s="22">
        <f>_xlfn.XLOOKUP(tblAnalysis[[#This Row],[Product ID]], tblProducts[Product ID], tblProducts[Unit Price])</f>
        <v>75</v>
      </c>
      <c r="I81" s="22">
        <f>_xlfn.XLOOKUP(tblAnalysis[[#This Row],[Product ID]], tblProducts[Product ID], tblProducts[Unit Cost])</f>
        <v>45</v>
      </c>
      <c r="J81" t="str">
        <f>_xlfn.XLOOKUP(tblAnalysis[[#This Row],[Rep ID]], tblReps[Rep ID], tblReps[Sales Rep])</f>
        <v>John</v>
      </c>
      <c r="K81" t="str">
        <f>_xlfn.XLOOKUP(tblAnalysis[[#This Row],[Rep ID]], tblReps[Rep ID], tblReps[Region])</f>
        <v>New York</v>
      </c>
      <c r="L81" s="22">
        <f>tblAnalysis[[#This Row],[Quantity]]*tblAnalysis[[#This Row],[Unit Price]]</f>
        <v>525</v>
      </c>
      <c r="M81" s="22">
        <f>tblAnalysis[[#This Row],[Quantity]]*(tblAnalysis[[#This Row],[Unit Price]]-tblAnalysis[[#This Row],[Unit Cost]])</f>
        <v>210</v>
      </c>
    </row>
    <row r="82" spans="1:13">
      <c r="A82" t="s">
        <v>136</v>
      </c>
      <c r="B82" s="1">
        <v>45710</v>
      </c>
      <c r="C82" t="s">
        <v>33</v>
      </c>
      <c r="D82" t="s">
        <v>17</v>
      </c>
      <c r="E82">
        <v>2</v>
      </c>
      <c r="F82" t="str">
        <f>_xlfn.XLOOKUP(tblAnalysis[[#This Row],[Product ID]], tblProducts[Product ID], tblProducts[Product Name])</f>
        <v>Iron</v>
      </c>
      <c r="G82" t="str">
        <f>_xlfn.XLOOKUP(tblAnalysis[[#This Row],[Product ID]], tblProducts[Product ID], tblProducts[Category])</f>
        <v>Home &amp; Living</v>
      </c>
      <c r="H82" s="22">
        <f>_xlfn.XLOOKUP(tblAnalysis[[#This Row],[Product ID]], tblProducts[Product ID], tblProducts[Unit Price])</f>
        <v>35</v>
      </c>
      <c r="I82" s="22">
        <f>_xlfn.XLOOKUP(tblAnalysis[[#This Row],[Product ID]], tblProducts[Product ID], tblProducts[Unit Cost])</f>
        <v>20</v>
      </c>
      <c r="J82" t="str">
        <f>_xlfn.XLOOKUP(tblAnalysis[[#This Row],[Rep ID]], tblReps[Rep ID], tblReps[Sales Rep])</f>
        <v>John</v>
      </c>
      <c r="K82" t="str">
        <f>_xlfn.XLOOKUP(tblAnalysis[[#This Row],[Rep ID]], tblReps[Rep ID], tblReps[Region])</f>
        <v>New York</v>
      </c>
      <c r="L82" s="22">
        <f>tblAnalysis[[#This Row],[Quantity]]*tblAnalysis[[#This Row],[Unit Price]]</f>
        <v>70</v>
      </c>
      <c r="M82" s="22">
        <f>tblAnalysis[[#This Row],[Quantity]]*(tblAnalysis[[#This Row],[Unit Price]]-tblAnalysis[[#This Row],[Unit Cost]])</f>
        <v>30</v>
      </c>
    </row>
    <row r="83" spans="1:13">
      <c r="A83" t="s">
        <v>137</v>
      </c>
      <c r="B83" s="1">
        <v>45711</v>
      </c>
      <c r="C83" t="s">
        <v>49</v>
      </c>
      <c r="D83" t="s">
        <v>14</v>
      </c>
      <c r="E83">
        <v>6</v>
      </c>
      <c r="F83" t="str">
        <f>_xlfn.XLOOKUP(tblAnalysis[[#This Row],[Product ID]], tblProducts[Product ID], tblProducts[Product Name])</f>
        <v>Blender</v>
      </c>
      <c r="G83" t="str">
        <f>_xlfn.XLOOKUP(tblAnalysis[[#This Row],[Product ID]], tblProducts[Product ID], tblProducts[Category])</f>
        <v>Home &amp; Living</v>
      </c>
      <c r="H83" s="22">
        <f>_xlfn.XLOOKUP(tblAnalysis[[#This Row],[Product ID]], tblProducts[Product ID], tblProducts[Unit Price])</f>
        <v>50</v>
      </c>
      <c r="I83" s="22">
        <f>_xlfn.XLOOKUP(tblAnalysis[[#This Row],[Product ID]], tblProducts[Product ID], tblProducts[Unit Cost])</f>
        <v>30</v>
      </c>
      <c r="J83" t="str">
        <f>_xlfn.XLOOKUP(tblAnalysis[[#This Row],[Rep ID]], tblReps[Rep ID], tblReps[Sales Rep])</f>
        <v>Emma</v>
      </c>
      <c r="K83" t="str">
        <f>_xlfn.XLOOKUP(tblAnalysis[[#This Row],[Rep ID]], tblReps[Rep ID], tblReps[Region])</f>
        <v>Miami</v>
      </c>
      <c r="L83" s="22">
        <f>tblAnalysis[[#This Row],[Quantity]]*tblAnalysis[[#This Row],[Unit Price]]</f>
        <v>300</v>
      </c>
      <c r="M83" s="22">
        <f>tblAnalysis[[#This Row],[Quantity]]*(tblAnalysis[[#This Row],[Unit Price]]-tblAnalysis[[#This Row],[Unit Cost]])</f>
        <v>120</v>
      </c>
    </row>
    <row r="84" spans="1:13">
      <c r="A84" t="s">
        <v>138</v>
      </c>
      <c r="B84" s="1">
        <v>45711</v>
      </c>
      <c r="C84" t="s">
        <v>41</v>
      </c>
      <c r="D84" t="s">
        <v>5</v>
      </c>
      <c r="E84">
        <v>9</v>
      </c>
      <c r="F84" t="str">
        <f>_xlfn.XLOOKUP(tblAnalysis[[#This Row],[Product ID]], tblProducts[Product ID], tblProducts[Product Name])</f>
        <v>Headset</v>
      </c>
      <c r="G84" t="str">
        <f>_xlfn.XLOOKUP(tblAnalysis[[#This Row],[Product ID]], tblProducts[Product ID], tblProducts[Category])</f>
        <v>Electronics</v>
      </c>
      <c r="H84" s="22">
        <f>_xlfn.XLOOKUP(tblAnalysis[[#This Row],[Product ID]], tblProducts[Product ID], tblProducts[Unit Price])</f>
        <v>75</v>
      </c>
      <c r="I84" s="22">
        <f>_xlfn.XLOOKUP(tblAnalysis[[#This Row],[Product ID]], tblProducts[Product ID], tblProducts[Unit Cost])</f>
        <v>45</v>
      </c>
      <c r="J84" t="str">
        <f>_xlfn.XLOOKUP(tblAnalysis[[#This Row],[Rep ID]], tblReps[Rep ID], tblReps[Sales Rep])</f>
        <v>Sarah</v>
      </c>
      <c r="K84" t="str">
        <f>_xlfn.XLOOKUP(tblAnalysis[[#This Row],[Rep ID]], tblReps[Rep ID], tblReps[Region])</f>
        <v>Chicago</v>
      </c>
      <c r="L84" s="22">
        <f>tblAnalysis[[#This Row],[Quantity]]*tblAnalysis[[#This Row],[Unit Price]]</f>
        <v>675</v>
      </c>
      <c r="M84" s="22">
        <f>tblAnalysis[[#This Row],[Quantity]]*(tblAnalysis[[#This Row],[Unit Price]]-tblAnalysis[[#This Row],[Unit Cost]])</f>
        <v>270</v>
      </c>
    </row>
    <row r="85" spans="1:13">
      <c r="A85" t="s">
        <v>139</v>
      </c>
      <c r="B85" s="1">
        <v>45711</v>
      </c>
      <c r="C85" t="s">
        <v>45</v>
      </c>
      <c r="D85" t="s">
        <v>12</v>
      </c>
      <c r="E85">
        <v>1</v>
      </c>
      <c r="F85" t="str">
        <f>_xlfn.XLOOKUP(tblAnalysis[[#This Row],[Product ID]], tblProducts[Product ID], tblProducts[Product Name])</f>
        <v>Webcam</v>
      </c>
      <c r="G85" t="str">
        <f>_xlfn.XLOOKUP(tblAnalysis[[#This Row],[Product ID]], tblProducts[Product ID], tblProducts[Category])</f>
        <v>Electronics</v>
      </c>
      <c r="H85" s="22">
        <f>_xlfn.XLOOKUP(tblAnalysis[[#This Row],[Product ID]], tblProducts[Product ID], tblProducts[Unit Price])</f>
        <v>60</v>
      </c>
      <c r="I85" s="22">
        <f>_xlfn.XLOOKUP(tblAnalysis[[#This Row],[Product ID]], tblProducts[Product ID], tblProducts[Unit Cost])</f>
        <v>35</v>
      </c>
      <c r="J85" t="str">
        <f>_xlfn.XLOOKUP(tblAnalysis[[#This Row],[Rep ID]], tblReps[Rep ID], tblReps[Sales Rep])</f>
        <v>David</v>
      </c>
      <c r="K85" t="str">
        <f>_xlfn.XLOOKUP(tblAnalysis[[#This Row],[Rep ID]], tblReps[Rep ID], tblReps[Region])</f>
        <v>Houston</v>
      </c>
      <c r="L85" s="22">
        <f>tblAnalysis[[#This Row],[Quantity]]*tblAnalysis[[#This Row],[Unit Price]]</f>
        <v>60</v>
      </c>
      <c r="M85" s="22">
        <f>tblAnalysis[[#This Row],[Quantity]]*(tblAnalysis[[#This Row],[Unit Price]]-tblAnalysis[[#This Row],[Unit Cost]])</f>
        <v>25</v>
      </c>
    </row>
    <row r="86" spans="1:13">
      <c r="A86" t="s">
        <v>140</v>
      </c>
      <c r="B86" s="1">
        <v>45711</v>
      </c>
      <c r="C86" t="s">
        <v>37</v>
      </c>
      <c r="D86" t="s">
        <v>24</v>
      </c>
      <c r="E86">
        <v>7</v>
      </c>
      <c r="F86" t="str">
        <f>_xlfn.XLOOKUP(tblAnalysis[[#This Row],[Product ID]], tblProducts[Product ID], tblProducts[Product Name])</f>
        <v>Pants</v>
      </c>
      <c r="G86" t="str">
        <f>_xlfn.XLOOKUP(tblAnalysis[[#This Row],[Product ID]], tblProducts[Product ID], tblProducts[Category])</f>
        <v>Fashion</v>
      </c>
      <c r="H86" s="22">
        <f>_xlfn.XLOOKUP(tblAnalysis[[#This Row],[Product ID]], tblProducts[Product ID], tblProducts[Unit Price])</f>
        <v>40</v>
      </c>
      <c r="I86" s="22">
        <f>_xlfn.XLOOKUP(tblAnalysis[[#This Row],[Product ID]], tblProducts[Product ID], tblProducts[Unit Cost])</f>
        <v>18</v>
      </c>
      <c r="J86" t="str">
        <f>_xlfn.XLOOKUP(tblAnalysis[[#This Row],[Rep ID]], tblReps[Rep ID], tblReps[Sales Rep])</f>
        <v>Mike</v>
      </c>
      <c r="K86" t="str">
        <f>_xlfn.XLOOKUP(tblAnalysis[[#This Row],[Rep ID]], tblReps[Rep ID], tblReps[Region])</f>
        <v>Los Angeles</v>
      </c>
      <c r="L86" s="22">
        <f>tblAnalysis[[#This Row],[Quantity]]*tblAnalysis[[#This Row],[Unit Price]]</f>
        <v>280</v>
      </c>
      <c r="M86" s="22">
        <f>tblAnalysis[[#This Row],[Quantity]]*(tblAnalysis[[#This Row],[Unit Price]]-tblAnalysis[[#This Row],[Unit Cost]])</f>
        <v>154</v>
      </c>
    </row>
    <row r="87" spans="1:13">
      <c r="A87" t="s">
        <v>141</v>
      </c>
      <c r="B87" s="1">
        <v>45711</v>
      </c>
      <c r="C87" t="s">
        <v>33</v>
      </c>
      <c r="D87" t="s">
        <v>19</v>
      </c>
      <c r="E87">
        <v>7</v>
      </c>
      <c r="F87" t="str">
        <f>_xlfn.XLOOKUP(tblAnalysis[[#This Row],[Product ID]], tblProducts[Product ID], tblProducts[Product Name])</f>
        <v>Fan</v>
      </c>
      <c r="G87" t="str">
        <f>_xlfn.XLOOKUP(tblAnalysis[[#This Row],[Product ID]], tblProducts[Product ID], tblProducts[Category])</f>
        <v>Home &amp; Living</v>
      </c>
      <c r="H87" s="22">
        <f>_xlfn.XLOOKUP(tblAnalysis[[#This Row],[Product ID]], tblProducts[Product ID], tblProducts[Unit Price])</f>
        <v>45</v>
      </c>
      <c r="I87" s="22">
        <f>_xlfn.XLOOKUP(tblAnalysis[[#This Row],[Product ID]], tblProducts[Product ID], tblProducts[Unit Cost])</f>
        <v>25</v>
      </c>
      <c r="J87" t="str">
        <f>_xlfn.XLOOKUP(tblAnalysis[[#This Row],[Rep ID]], tblReps[Rep ID], tblReps[Sales Rep])</f>
        <v>John</v>
      </c>
      <c r="K87" t="str">
        <f>_xlfn.XLOOKUP(tblAnalysis[[#This Row],[Rep ID]], tblReps[Rep ID], tblReps[Region])</f>
        <v>New York</v>
      </c>
      <c r="L87" s="22">
        <f>tblAnalysis[[#This Row],[Quantity]]*tblAnalysis[[#This Row],[Unit Price]]</f>
        <v>315</v>
      </c>
      <c r="M87" s="22">
        <f>tblAnalysis[[#This Row],[Quantity]]*(tblAnalysis[[#This Row],[Unit Price]]-tblAnalysis[[#This Row],[Unit Cost]])</f>
        <v>140</v>
      </c>
    </row>
    <row r="88" spans="1:13">
      <c r="A88" t="s">
        <v>142</v>
      </c>
      <c r="B88" s="1">
        <v>45712</v>
      </c>
      <c r="C88" t="s">
        <v>33</v>
      </c>
      <c r="D88" t="s">
        <v>14</v>
      </c>
      <c r="E88">
        <v>7</v>
      </c>
      <c r="F88" t="str">
        <f>_xlfn.XLOOKUP(tblAnalysis[[#This Row],[Product ID]], tblProducts[Product ID], tblProducts[Product Name])</f>
        <v>Blender</v>
      </c>
      <c r="G88" t="str">
        <f>_xlfn.XLOOKUP(tblAnalysis[[#This Row],[Product ID]], tblProducts[Product ID], tblProducts[Category])</f>
        <v>Home &amp; Living</v>
      </c>
      <c r="H88" s="22">
        <f>_xlfn.XLOOKUP(tblAnalysis[[#This Row],[Product ID]], tblProducts[Product ID], tblProducts[Unit Price])</f>
        <v>50</v>
      </c>
      <c r="I88" s="22">
        <f>_xlfn.XLOOKUP(tblAnalysis[[#This Row],[Product ID]], tblProducts[Product ID], tblProducts[Unit Cost])</f>
        <v>30</v>
      </c>
      <c r="J88" t="str">
        <f>_xlfn.XLOOKUP(tblAnalysis[[#This Row],[Rep ID]], tblReps[Rep ID], tblReps[Sales Rep])</f>
        <v>John</v>
      </c>
      <c r="K88" t="str">
        <f>_xlfn.XLOOKUP(tblAnalysis[[#This Row],[Rep ID]], tblReps[Rep ID], tblReps[Region])</f>
        <v>New York</v>
      </c>
      <c r="L88" s="22">
        <f>tblAnalysis[[#This Row],[Quantity]]*tblAnalysis[[#This Row],[Unit Price]]</f>
        <v>350</v>
      </c>
      <c r="M88" s="22">
        <f>tblAnalysis[[#This Row],[Quantity]]*(tblAnalysis[[#This Row],[Unit Price]]-tblAnalysis[[#This Row],[Unit Cost]])</f>
        <v>140</v>
      </c>
    </row>
    <row r="89" spans="1:13">
      <c r="A89" t="s">
        <v>143</v>
      </c>
      <c r="B89" s="1">
        <v>45714</v>
      </c>
      <c r="C89" t="s">
        <v>41</v>
      </c>
      <c r="D89" t="s">
        <v>19</v>
      </c>
      <c r="E89">
        <v>3</v>
      </c>
      <c r="F89" t="str">
        <f>_xlfn.XLOOKUP(tblAnalysis[[#This Row],[Product ID]], tblProducts[Product ID], tblProducts[Product Name])</f>
        <v>Fan</v>
      </c>
      <c r="G89" t="str">
        <f>_xlfn.XLOOKUP(tblAnalysis[[#This Row],[Product ID]], tblProducts[Product ID], tblProducts[Category])</f>
        <v>Home &amp; Living</v>
      </c>
      <c r="H89" s="22">
        <f>_xlfn.XLOOKUP(tblAnalysis[[#This Row],[Product ID]], tblProducts[Product ID], tblProducts[Unit Price])</f>
        <v>45</v>
      </c>
      <c r="I89" s="22">
        <f>_xlfn.XLOOKUP(tblAnalysis[[#This Row],[Product ID]], tblProducts[Product ID], tblProducts[Unit Cost])</f>
        <v>25</v>
      </c>
      <c r="J89" t="str">
        <f>_xlfn.XLOOKUP(tblAnalysis[[#This Row],[Rep ID]], tblReps[Rep ID], tblReps[Sales Rep])</f>
        <v>Sarah</v>
      </c>
      <c r="K89" t="str">
        <f>_xlfn.XLOOKUP(tblAnalysis[[#This Row],[Rep ID]], tblReps[Rep ID], tblReps[Region])</f>
        <v>Chicago</v>
      </c>
      <c r="L89" s="22">
        <f>tblAnalysis[[#This Row],[Quantity]]*tblAnalysis[[#This Row],[Unit Price]]</f>
        <v>135</v>
      </c>
      <c r="M89" s="22">
        <f>tblAnalysis[[#This Row],[Quantity]]*(tblAnalysis[[#This Row],[Unit Price]]-tblAnalysis[[#This Row],[Unit Cost]])</f>
        <v>60</v>
      </c>
    </row>
    <row r="90" spans="1:13">
      <c r="A90" t="s">
        <v>144</v>
      </c>
      <c r="B90" s="1">
        <v>45715</v>
      </c>
      <c r="C90" t="s">
        <v>33</v>
      </c>
      <c r="D90" t="s">
        <v>14</v>
      </c>
      <c r="E90">
        <v>1</v>
      </c>
      <c r="F90" t="str">
        <f>_xlfn.XLOOKUP(tblAnalysis[[#This Row],[Product ID]], tblProducts[Product ID], tblProducts[Product Name])</f>
        <v>Blender</v>
      </c>
      <c r="G90" t="str">
        <f>_xlfn.XLOOKUP(tblAnalysis[[#This Row],[Product ID]], tblProducts[Product ID], tblProducts[Category])</f>
        <v>Home &amp; Living</v>
      </c>
      <c r="H90" s="22">
        <f>_xlfn.XLOOKUP(tblAnalysis[[#This Row],[Product ID]], tblProducts[Product ID], tblProducts[Unit Price])</f>
        <v>50</v>
      </c>
      <c r="I90" s="22">
        <f>_xlfn.XLOOKUP(tblAnalysis[[#This Row],[Product ID]], tblProducts[Product ID], tblProducts[Unit Cost])</f>
        <v>30</v>
      </c>
      <c r="J90" t="str">
        <f>_xlfn.XLOOKUP(tblAnalysis[[#This Row],[Rep ID]], tblReps[Rep ID], tblReps[Sales Rep])</f>
        <v>John</v>
      </c>
      <c r="K90" t="str">
        <f>_xlfn.XLOOKUP(tblAnalysis[[#This Row],[Rep ID]], tblReps[Rep ID], tblReps[Region])</f>
        <v>New York</v>
      </c>
      <c r="L90" s="22">
        <f>tblAnalysis[[#This Row],[Quantity]]*tblAnalysis[[#This Row],[Unit Price]]</f>
        <v>50</v>
      </c>
      <c r="M90" s="22">
        <f>tblAnalysis[[#This Row],[Quantity]]*(tblAnalysis[[#This Row],[Unit Price]]-tblAnalysis[[#This Row],[Unit Cost]])</f>
        <v>20</v>
      </c>
    </row>
    <row r="91" spans="1:13">
      <c r="A91" t="s">
        <v>145</v>
      </c>
      <c r="B91" s="1">
        <v>45715</v>
      </c>
      <c r="C91" t="s">
        <v>45</v>
      </c>
      <c r="D91" t="s">
        <v>8</v>
      </c>
      <c r="E91">
        <v>3</v>
      </c>
      <c r="F91" t="str">
        <f>_xlfn.XLOOKUP(tblAnalysis[[#This Row],[Product ID]], tblProducts[Product ID], tblProducts[Product Name])</f>
        <v>Mouse</v>
      </c>
      <c r="G91" t="str">
        <f>_xlfn.XLOOKUP(tblAnalysis[[#This Row],[Product ID]], tblProducts[Product ID], tblProducts[Category])</f>
        <v>Electronics</v>
      </c>
      <c r="H91" s="22">
        <f>_xlfn.XLOOKUP(tblAnalysis[[#This Row],[Product ID]], tblProducts[Product ID], tblProducts[Unit Price])</f>
        <v>25</v>
      </c>
      <c r="I91" s="22">
        <f>_xlfn.XLOOKUP(tblAnalysis[[#This Row],[Product ID]], tblProducts[Product ID], tblProducts[Unit Cost])</f>
        <v>12</v>
      </c>
      <c r="J91" t="str">
        <f>_xlfn.XLOOKUP(tblAnalysis[[#This Row],[Rep ID]], tblReps[Rep ID], tblReps[Sales Rep])</f>
        <v>David</v>
      </c>
      <c r="K91" t="str">
        <f>_xlfn.XLOOKUP(tblAnalysis[[#This Row],[Rep ID]], tblReps[Rep ID], tblReps[Region])</f>
        <v>Houston</v>
      </c>
      <c r="L91" s="22">
        <f>tblAnalysis[[#This Row],[Quantity]]*tblAnalysis[[#This Row],[Unit Price]]</f>
        <v>75</v>
      </c>
      <c r="M91" s="22">
        <f>tblAnalysis[[#This Row],[Quantity]]*(tblAnalysis[[#This Row],[Unit Price]]-tblAnalysis[[#This Row],[Unit Cost]])</f>
        <v>39</v>
      </c>
    </row>
    <row r="92" spans="1:13">
      <c r="A92" t="s">
        <v>146</v>
      </c>
      <c r="B92" s="1">
        <v>45715</v>
      </c>
      <c r="C92" t="s">
        <v>37</v>
      </c>
      <c r="D92" t="s">
        <v>21</v>
      </c>
      <c r="E92">
        <v>2</v>
      </c>
      <c r="F92" t="str">
        <f>_xlfn.XLOOKUP(tblAnalysis[[#This Row],[Product ID]], tblProducts[Product ID], tblProducts[Product Name])</f>
        <v>T-Shirt</v>
      </c>
      <c r="G92" t="str">
        <f>_xlfn.XLOOKUP(tblAnalysis[[#This Row],[Product ID]], tblProducts[Product ID], tblProducts[Category])</f>
        <v>Fashion</v>
      </c>
      <c r="H92" s="22">
        <f>_xlfn.XLOOKUP(tblAnalysis[[#This Row],[Product ID]], tblProducts[Product ID], tblProducts[Unit Price])</f>
        <v>20</v>
      </c>
      <c r="I92" s="22">
        <f>_xlfn.XLOOKUP(tblAnalysis[[#This Row],[Product ID]], tblProducts[Product ID], tblProducts[Unit Cost])</f>
        <v>8</v>
      </c>
      <c r="J92" t="str">
        <f>_xlfn.XLOOKUP(tblAnalysis[[#This Row],[Rep ID]], tblReps[Rep ID], tblReps[Sales Rep])</f>
        <v>Mike</v>
      </c>
      <c r="K92" t="str">
        <f>_xlfn.XLOOKUP(tblAnalysis[[#This Row],[Rep ID]], tblReps[Rep ID], tblReps[Region])</f>
        <v>Los Angeles</v>
      </c>
      <c r="L92" s="22">
        <f>tblAnalysis[[#This Row],[Quantity]]*tblAnalysis[[#This Row],[Unit Price]]</f>
        <v>40</v>
      </c>
      <c r="M92" s="22">
        <f>tblAnalysis[[#This Row],[Quantity]]*(tblAnalysis[[#This Row],[Unit Price]]-tblAnalysis[[#This Row],[Unit Cost]])</f>
        <v>24</v>
      </c>
    </row>
    <row r="93" spans="1:13">
      <c r="A93" t="s">
        <v>147</v>
      </c>
      <c r="B93" s="1">
        <v>45715</v>
      </c>
      <c r="C93" t="s">
        <v>37</v>
      </c>
      <c r="D93" t="s">
        <v>17</v>
      </c>
      <c r="E93">
        <v>9</v>
      </c>
      <c r="F93" t="str">
        <f>_xlfn.XLOOKUP(tblAnalysis[[#This Row],[Product ID]], tblProducts[Product ID], tblProducts[Product Name])</f>
        <v>Iron</v>
      </c>
      <c r="G93" t="str">
        <f>_xlfn.XLOOKUP(tblAnalysis[[#This Row],[Product ID]], tblProducts[Product ID], tblProducts[Category])</f>
        <v>Home &amp; Living</v>
      </c>
      <c r="H93" s="22">
        <f>_xlfn.XLOOKUP(tblAnalysis[[#This Row],[Product ID]], tblProducts[Product ID], tblProducts[Unit Price])</f>
        <v>35</v>
      </c>
      <c r="I93" s="22">
        <f>_xlfn.XLOOKUP(tblAnalysis[[#This Row],[Product ID]], tblProducts[Product ID], tblProducts[Unit Cost])</f>
        <v>20</v>
      </c>
      <c r="J93" t="str">
        <f>_xlfn.XLOOKUP(tblAnalysis[[#This Row],[Rep ID]], tblReps[Rep ID], tblReps[Sales Rep])</f>
        <v>Mike</v>
      </c>
      <c r="K93" t="str">
        <f>_xlfn.XLOOKUP(tblAnalysis[[#This Row],[Rep ID]], tblReps[Rep ID], tblReps[Region])</f>
        <v>Los Angeles</v>
      </c>
      <c r="L93" s="22">
        <f>tblAnalysis[[#This Row],[Quantity]]*tblAnalysis[[#This Row],[Unit Price]]</f>
        <v>315</v>
      </c>
      <c r="M93" s="22">
        <f>tblAnalysis[[#This Row],[Quantity]]*(tblAnalysis[[#This Row],[Unit Price]]-tblAnalysis[[#This Row],[Unit Cost]])</f>
        <v>135</v>
      </c>
    </row>
    <row r="94" spans="1:13">
      <c r="A94" t="s">
        <v>148</v>
      </c>
      <c r="B94" s="1">
        <v>45716</v>
      </c>
      <c r="C94" t="s">
        <v>41</v>
      </c>
      <c r="D94" t="s">
        <v>14</v>
      </c>
      <c r="E94">
        <v>9</v>
      </c>
      <c r="F94" t="str">
        <f>_xlfn.XLOOKUP(tblAnalysis[[#This Row],[Product ID]], tblProducts[Product ID], tblProducts[Product Name])</f>
        <v>Blender</v>
      </c>
      <c r="G94" t="str">
        <f>_xlfn.XLOOKUP(tblAnalysis[[#This Row],[Product ID]], tblProducts[Product ID], tblProducts[Category])</f>
        <v>Home &amp; Living</v>
      </c>
      <c r="H94" s="22">
        <f>_xlfn.XLOOKUP(tblAnalysis[[#This Row],[Product ID]], tblProducts[Product ID], tblProducts[Unit Price])</f>
        <v>50</v>
      </c>
      <c r="I94" s="22">
        <f>_xlfn.XLOOKUP(tblAnalysis[[#This Row],[Product ID]], tblProducts[Product ID], tblProducts[Unit Cost])</f>
        <v>30</v>
      </c>
      <c r="J94" t="str">
        <f>_xlfn.XLOOKUP(tblAnalysis[[#This Row],[Rep ID]], tblReps[Rep ID], tblReps[Sales Rep])</f>
        <v>Sarah</v>
      </c>
      <c r="K94" t="str">
        <f>_xlfn.XLOOKUP(tblAnalysis[[#This Row],[Rep ID]], tblReps[Rep ID], tblReps[Region])</f>
        <v>Chicago</v>
      </c>
      <c r="L94" s="22">
        <f>tblAnalysis[[#This Row],[Quantity]]*tblAnalysis[[#This Row],[Unit Price]]</f>
        <v>450</v>
      </c>
      <c r="M94" s="22">
        <f>tblAnalysis[[#This Row],[Quantity]]*(tblAnalysis[[#This Row],[Unit Price]]-tblAnalysis[[#This Row],[Unit Cost]])</f>
        <v>180</v>
      </c>
    </row>
    <row r="95" spans="1:13">
      <c r="A95" t="s">
        <v>149</v>
      </c>
      <c r="B95" s="1">
        <v>45717</v>
      </c>
      <c r="C95" t="s">
        <v>33</v>
      </c>
      <c r="D95" t="s">
        <v>8</v>
      </c>
      <c r="E95">
        <v>1</v>
      </c>
      <c r="F95" t="str">
        <f>_xlfn.XLOOKUP(tblAnalysis[[#This Row],[Product ID]], tblProducts[Product ID], tblProducts[Product Name])</f>
        <v>Mouse</v>
      </c>
      <c r="G95" t="str">
        <f>_xlfn.XLOOKUP(tblAnalysis[[#This Row],[Product ID]], tblProducts[Product ID], tblProducts[Category])</f>
        <v>Electronics</v>
      </c>
      <c r="H95" s="22">
        <f>_xlfn.XLOOKUP(tblAnalysis[[#This Row],[Product ID]], tblProducts[Product ID], tblProducts[Unit Price])</f>
        <v>25</v>
      </c>
      <c r="I95" s="22">
        <f>_xlfn.XLOOKUP(tblAnalysis[[#This Row],[Product ID]], tblProducts[Product ID], tblProducts[Unit Cost])</f>
        <v>12</v>
      </c>
      <c r="J95" t="str">
        <f>_xlfn.XLOOKUP(tblAnalysis[[#This Row],[Rep ID]], tblReps[Rep ID], tblReps[Sales Rep])</f>
        <v>John</v>
      </c>
      <c r="K95" t="str">
        <f>_xlfn.XLOOKUP(tblAnalysis[[#This Row],[Rep ID]], tblReps[Rep ID], tblReps[Region])</f>
        <v>New York</v>
      </c>
      <c r="L95" s="22">
        <f>tblAnalysis[[#This Row],[Quantity]]*tblAnalysis[[#This Row],[Unit Price]]</f>
        <v>25</v>
      </c>
      <c r="M95" s="22">
        <f>tblAnalysis[[#This Row],[Quantity]]*(tblAnalysis[[#This Row],[Unit Price]]-tblAnalysis[[#This Row],[Unit Cost]])</f>
        <v>13</v>
      </c>
    </row>
    <row r="96" spans="1:13">
      <c r="A96" t="s">
        <v>150</v>
      </c>
      <c r="B96" s="1">
        <v>45717</v>
      </c>
      <c r="C96" t="s">
        <v>45</v>
      </c>
      <c r="D96" t="s">
        <v>17</v>
      </c>
      <c r="E96">
        <v>4</v>
      </c>
      <c r="F96" t="str">
        <f>_xlfn.XLOOKUP(tblAnalysis[[#This Row],[Product ID]], tblProducts[Product ID], tblProducts[Product Name])</f>
        <v>Iron</v>
      </c>
      <c r="G96" t="str">
        <f>_xlfn.XLOOKUP(tblAnalysis[[#This Row],[Product ID]], tblProducts[Product ID], tblProducts[Category])</f>
        <v>Home &amp; Living</v>
      </c>
      <c r="H96" s="22">
        <f>_xlfn.XLOOKUP(tblAnalysis[[#This Row],[Product ID]], tblProducts[Product ID], tblProducts[Unit Price])</f>
        <v>35</v>
      </c>
      <c r="I96" s="22">
        <f>_xlfn.XLOOKUP(tblAnalysis[[#This Row],[Product ID]], tblProducts[Product ID], tblProducts[Unit Cost])</f>
        <v>20</v>
      </c>
      <c r="J96" t="str">
        <f>_xlfn.XLOOKUP(tblAnalysis[[#This Row],[Rep ID]], tblReps[Rep ID], tblReps[Sales Rep])</f>
        <v>David</v>
      </c>
      <c r="K96" t="str">
        <f>_xlfn.XLOOKUP(tblAnalysis[[#This Row],[Rep ID]], tblReps[Rep ID], tblReps[Region])</f>
        <v>Houston</v>
      </c>
      <c r="L96" s="22">
        <f>tblAnalysis[[#This Row],[Quantity]]*tblAnalysis[[#This Row],[Unit Price]]</f>
        <v>140</v>
      </c>
      <c r="M96" s="22">
        <f>tblAnalysis[[#This Row],[Quantity]]*(tblAnalysis[[#This Row],[Unit Price]]-tblAnalysis[[#This Row],[Unit Cost]])</f>
        <v>60</v>
      </c>
    </row>
    <row r="97" spans="1:13">
      <c r="A97" t="s">
        <v>151</v>
      </c>
      <c r="B97" s="1">
        <v>45719</v>
      </c>
      <c r="C97" t="s">
        <v>33</v>
      </c>
      <c r="D97" t="s">
        <v>21</v>
      </c>
      <c r="E97">
        <v>6</v>
      </c>
      <c r="F97" t="str">
        <f>_xlfn.XLOOKUP(tblAnalysis[[#This Row],[Product ID]], tblProducts[Product ID], tblProducts[Product Name])</f>
        <v>T-Shirt</v>
      </c>
      <c r="G97" t="str">
        <f>_xlfn.XLOOKUP(tblAnalysis[[#This Row],[Product ID]], tblProducts[Product ID], tblProducts[Category])</f>
        <v>Fashion</v>
      </c>
      <c r="H97" s="22">
        <f>_xlfn.XLOOKUP(tblAnalysis[[#This Row],[Product ID]], tblProducts[Product ID], tblProducts[Unit Price])</f>
        <v>20</v>
      </c>
      <c r="I97" s="22">
        <f>_xlfn.XLOOKUP(tblAnalysis[[#This Row],[Product ID]], tblProducts[Product ID], tblProducts[Unit Cost])</f>
        <v>8</v>
      </c>
      <c r="J97" t="str">
        <f>_xlfn.XLOOKUP(tblAnalysis[[#This Row],[Rep ID]], tblReps[Rep ID], tblReps[Sales Rep])</f>
        <v>John</v>
      </c>
      <c r="K97" t="str">
        <f>_xlfn.XLOOKUP(tblAnalysis[[#This Row],[Rep ID]], tblReps[Rep ID], tblReps[Region])</f>
        <v>New York</v>
      </c>
      <c r="L97" s="22">
        <f>tblAnalysis[[#This Row],[Quantity]]*tblAnalysis[[#This Row],[Unit Price]]</f>
        <v>120</v>
      </c>
      <c r="M97" s="22">
        <f>tblAnalysis[[#This Row],[Quantity]]*(tblAnalysis[[#This Row],[Unit Price]]-tblAnalysis[[#This Row],[Unit Cost]])</f>
        <v>72</v>
      </c>
    </row>
    <row r="98" spans="1:13">
      <c r="A98" t="s">
        <v>152</v>
      </c>
      <c r="B98" s="1">
        <v>45719</v>
      </c>
      <c r="C98" t="s">
        <v>49</v>
      </c>
      <c r="D98" t="s">
        <v>12</v>
      </c>
      <c r="E98">
        <v>1</v>
      </c>
      <c r="F98" t="str">
        <f>_xlfn.XLOOKUP(tblAnalysis[[#This Row],[Product ID]], tblProducts[Product ID], tblProducts[Product Name])</f>
        <v>Webcam</v>
      </c>
      <c r="G98" t="str">
        <f>_xlfn.XLOOKUP(tblAnalysis[[#This Row],[Product ID]], tblProducts[Product ID], tblProducts[Category])</f>
        <v>Electronics</v>
      </c>
      <c r="H98" s="22">
        <f>_xlfn.XLOOKUP(tblAnalysis[[#This Row],[Product ID]], tblProducts[Product ID], tblProducts[Unit Price])</f>
        <v>60</v>
      </c>
      <c r="I98" s="22">
        <f>_xlfn.XLOOKUP(tblAnalysis[[#This Row],[Product ID]], tblProducts[Product ID], tblProducts[Unit Cost])</f>
        <v>35</v>
      </c>
      <c r="J98" t="str">
        <f>_xlfn.XLOOKUP(tblAnalysis[[#This Row],[Rep ID]], tblReps[Rep ID], tblReps[Sales Rep])</f>
        <v>Emma</v>
      </c>
      <c r="K98" t="str">
        <f>_xlfn.XLOOKUP(tblAnalysis[[#This Row],[Rep ID]], tblReps[Rep ID], tblReps[Region])</f>
        <v>Miami</v>
      </c>
      <c r="L98" s="22">
        <f>tblAnalysis[[#This Row],[Quantity]]*tblAnalysis[[#This Row],[Unit Price]]</f>
        <v>60</v>
      </c>
      <c r="M98" s="22">
        <f>tblAnalysis[[#This Row],[Quantity]]*(tblAnalysis[[#This Row],[Unit Price]]-tblAnalysis[[#This Row],[Unit Cost]])</f>
        <v>25</v>
      </c>
    </row>
    <row r="99" spans="1:13">
      <c r="A99" t="s">
        <v>153</v>
      </c>
      <c r="B99" s="1">
        <v>45719</v>
      </c>
      <c r="C99" t="s">
        <v>37</v>
      </c>
      <c r="D99" t="s">
        <v>12</v>
      </c>
      <c r="E99">
        <v>9</v>
      </c>
      <c r="F99" t="str">
        <f>_xlfn.XLOOKUP(tblAnalysis[[#This Row],[Product ID]], tblProducts[Product ID], tblProducts[Product Name])</f>
        <v>Webcam</v>
      </c>
      <c r="G99" t="str">
        <f>_xlfn.XLOOKUP(tblAnalysis[[#This Row],[Product ID]], tblProducts[Product ID], tblProducts[Category])</f>
        <v>Electronics</v>
      </c>
      <c r="H99" s="22">
        <f>_xlfn.XLOOKUP(tblAnalysis[[#This Row],[Product ID]], tblProducts[Product ID], tblProducts[Unit Price])</f>
        <v>60</v>
      </c>
      <c r="I99" s="22">
        <f>_xlfn.XLOOKUP(tblAnalysis[[#This Row],[Product ID]], tblProducts[Product ID], tblProducts[Unit Cost])</f>
        <v>35</v>
      </c>
      <c r="J99" t="str">
        <f>_xlfn.XLOOKUP(tblAnalysis[[#This Row],[Rep ID]], tblReps[Rep ID], tblReps[Sales Rep])</f>
        <v>Mike</v>
      </c>
      <c r="K99" t="str">
        <f>_xlfn.XLOOKUP(tblAnalysis[[#This Row],[Rep ID]], tblReps[Rep ID], tblReps[Region])</f>
        <v>Los Angeles</v>
      </c>
      <c r="L99" s="22">
        <f>tblAnalysis[[#This Row],[Quantity]]*tblAnalysis[[#This Row],[Unit Price]]</f>
        <v>540</v>
      </c>
      <c r="M99" s="22">
        <f>tblAnalysis[[#This Row],[Quantity]]*(tblAnalysis[[#This Row],[Unit Price]]-tblAnalysis[[#This Row],[Unit Cost]])</f>
        <v>225</v>
      </c>
    </row>
    <row r="100" spans="1:13">
      <c r="A100" t="s">
        <v>154</v>
      </c>
      <c r="B100" s="1">
        <v>45720</v>
      </c>
      <c r="C100" t="s">
        <v>37</v>
      </c>
      <c r="D100" t="s">
        <v>12</v>
      </c>
      <c r="E100">
        <v>4</v>
      </c>
      <c r="F100" t="str">
        <f>_xlfn.XLOOKUP(tblAnalysis[[#This Row],[Product ID]], tblProducts[Product ID], tblProducts[Product Name])</f>
        <v>Webcam</v>
      </c>
      <c r="G100" t="str">
        <f>_xlfn.XLOOKUP(tblAnalysis[[#This Row],[Product ID]], tblProducts[Product ID], tblProducts[Category])</f>
        <v>Electronics</v>
      </c>
      <c r="H100" s="22">
        <f>_xlfn.XLOOKUP(tblAnalysis[[#This Row],[Product ID]], tblProducts[Product ID], tblProducts[Unit Price])</f>
        <v>60</v>
      </c>
      <c r="I100" s="22">
        <f>_xlfn.XLOOKUP(tblAnalysis[[#This Row],[Product ID]], tblProducts[Product ID], tblProducts[Unit Cost])</f>
        <v>35</v>
      </c>
      <c r="J100" t="str">
        <f>_xlfn.XLOOKUP(tblAnalysis[[#This Row],[Rep ID]], tblReps[Rep ID], tblReps[Sales Rep])</f>
        <v>Mike</v>
      </c>
      <c r="K100" t="str">
        <f>_xlfn.XLOOKUP(tblAnalysis[[#This Row],[Rep ID]], tblReps[Rep ID], tblReps[Region])</f>
        <v>Los Angeles</v>
      </c>
      <c r="L100" s="22">
        <f>tblAnalysis[[#This Row],[Quantity]]*tblAnalysis[[#This Row],[Unit Price]]</f>
        <v>240</v>
      </c>
      <c r="M100" s="22">
        <f>tblAnalysis[[#This Row],[Quantity]]*(tblAnalysis[[#This Row],[Unit Price]]-tblAnalysis[[#This Row],[Unit Cost]])</f>
        <v>100</v>
      </c>
    </row>
    <row r="101" spans="1:13">
      <c r="A101" t="s">
        <v>155</v>
      </c>
      <c r="B101" s="1">
        <v>45720</v>
      </c>
      <c r="C101" t="s">
        <v>33</v>
      </c>
      <c r="D101" t="s">
        <v>12</v>
      </c>
      <c r="E101">
        <v>6</v>
      </c>
      <c r="F101" t="str">
        <f>_xlfn.XLOOKUP(tblAnalysis[[#This Row],[Product ID]], tblProducts[Product ID], tblProducts[Product Name])</f>
        <v>Webcam</v>
      </c>
      <c r="G101" t="str">
        <f>_xlfn.XLOOKUP(tblAnalysis[[#This Row],[Product ID]], tblProducts[Product ID], tblProducts[Category])</f>
        <v>Electronics</v>
      </c>
      <c r="H101" s="22">
        <f>_xlfn.XLOOKUP(tblAnalysis[[#This Row],[Product ID]], tblProducts[Product ID], tblProducts[Unit Price])</f>
        <v>60</v>
      </c>
      <c r="I101" s="22">
        <f>_xlfn.XLOOKUP(tblAnalysis[[#This Row],[Product ID]], tblProducts[Product ID], tblProducts[Unit Cost])</f>
        <v>35</v>
      </c>
      <c r="J101" t="str">
        <f>_xlfn.XLOOKUP(tblAnalysis[[#This Row],[Rep ID]], tblReps[Rep ID], tblReps[Sales Rep])</f>
        <v>John</v>
      </c>
      <c r="K101" t="str">
        <f>_xlfn.XLOOKUP(tblAnalysis[[#This Row],[Rep ID]], tblReps[Rep ID], tblReps[Region])</f>
        <v>New York</v>
      </c>
      <c r="L101" s="22">
        <f>tblAnalysis[[#This Row],[Quantity]]*tblAnalysis[[#This Row],[Unit Price]]</f>
        <v>360</v>
      </c>
      <c r="M101" s="22">
        <f>tblAnalysis[[#This Row],[Quantity]]*(tblAnalysis[[#This Row],[Unit Price]]-tblAnalysis[[#This Row],[Unit Cost]])</f>
        <v>150</v>
      </c>
    </row>
    <row r="102" spans="1:13">
      <c r="A102" t="s">
        <v>156</v>
      </c>
      <c r="B102" s="1">
        <v>45720</v>
      </c>
      <c r="C102" t="s">
        <v>49</v>
      </c>
      <c r="D102" t="s">
        <v>14</v>
      </c>
      <c r="E102">
        <v>6</v>
      </c>
      <c r="F102" t="str">
        <f>_xlfn.XLOOKUP(tblAnalysis[[#This Row],[Product ID]], tblProducts[Product ID], tblProducts[Product Name])</f>
        <v>Blender</v>
      </c>
      <c r="G102" t="str">
        <f>_xlfn.XLOOKUP(tblAnalysis[[#This Row],[Product ID]], tblProducts[Product ID], tblProducts[Category])</f>
        <v>Home &amp; Living</v>
      </c>
      <c r="H102" s="22">
        <f>_xlfn.XLOOKUP(tblAnalysis[[#This Row],[Product ID]], tblProducts[Product ID], tblProducts[Unit Price])</f>
        <v>50</v>
      </c>
      <c r="I102" s="22">
        <f>_xlfn.XLOOKUP(tblAnalysis[[#This Row],[Product ID]], tblProducts[Product ID], tblProducts[Unit Cost])</f>
        <v>30</v>
      </c>
      <c r="J102" t="str">
        <f>_xlfn.XLOOKUP(tblAnalysis[[#This Row],[Rep ID]], tblReps[Rep ID], tblReps[Sales Rep])</f>
        <v>Emma</v>
      </c>
      <c r="K102" t="str">
        <f>_xlfn.XLOOKUP(tblAnalysis[[#This Row],[Rep ID]], tblReps[Rep ID], tblReps[Region])</f>
        <v>Miami</v>
      </c>
      <c r="L102" s="22">
        <f>tblAnalysis[[#This Row],[Quantity]]*tblAnalysis[[#This Row],[Unit Price]]</f>
        <v>300</v>
      </c>
      <c r="M102" s="22">
        <f>tblAnalysis[[#This Row],[Quantity]]*(tblAnalysis[[#This Row],[Unit Price]]-tblAnalysis[[#This Row],[Unit Cost]])</f>
        <v>120</v>
      </c>
    </row>
    <row r="103" spans="1:13">
      <c r="A103" t="s">
        <v>157</v>
      </c>
      <c r="B103" s="1">
        <v>45722</v>
      </c>
      <c r="C103" t="s">
        <v>41</v>
      </c>
      <c r="D103" t="s">
        <v>21</v>
      </c>
      <c r="E103">
        <v>6</v>
      </c>
      <c r="F103" t="str">
        <f>_xlfn.XLOOKUP(tblAnalysis[[#This Row],[Product ID]], tblProducts[Product ID], tblProducts[Product Name])</f>
        <v>T-Shirt</v>
      </c>
      <c r="G103" t="str">
        <f>_xlfn.XLOOKUP(tblAnalysis[[#This Row],[Product ID]], tblProducts[Product ID], tblProducts[Category])</f>
        <v>Fashion</v>
      </c>
      <c r="H103" s="22">
        <f>_xlfn.XLOOKUP(tblAnalysis[[#This Row],[Product ID]], tblProducts[Product ID], tblProducts[Unit Price])</f>
        <v>20</v>
      </c>
      <c r="I103" s="22">
        <f>_xlfn.XLOOKUP(tblAnalysis[[#This Row],[Product ID]], tblProducts[Product ID], tblProducts[Unit Cost])</f>
        <v>8</v>
      </c>
      <c r="J103" t="str">
        <f>_xlfn.XLOOKUP(tblAnalysis[[#This Row],[Rep ID]], tblReps[Rep ID], tblReps[Sales Rep])</f>
        <v>Sarah</v>
      </c>
      <c r="K103" t="str">
        <f>_xlfn.XLOOKUP(tblAnalysis[[#This Row],[Rep ID]], tblReps[Rep ID], tblReps[Region])</f>
        <v>Chicago</v>
      </c>
      <c r="L103" s="22">
        <f>tblAnalysis[[#This Row],[Quantity]]*tblAnalysis[[#This Row],[Unit Price]]</f>
        <v>120</v>
      </c>
      <c r="M103" s="22">
        <f>tblAnalysis[[#This Row],[Quantity]]*(tblAnalysis[[#This Row],[Unit Price]]-tblAnalysis[[#This Row],[Unit Cost]])</f>
        <v>72</v>
      </c>
    </row>
    <row r="104" spans="1:13">
      <c r="A104" t="s">
        <v>158</v>
      </c>
      <c r="B104" s="1">
        <v>45722</v>
      </c>
      <c r="C104" t="s">
        <v>49</v>
      </c>
      <c r="D104" t="s">
        <v>12</v>
      </c>
      <c r="E104">
        <v>6</v>
      </c>
      <c r="F104" t="str">
        <f>_xlfn.XLOOKUP(tblAnalysis[[#This Row],[Product ID]], tblProducts[Product ID], tblProducts[Product Name])</f>
        <v>Webcam</v>
      </c>
      <c r="G104" t="str">
        <f>_xlfn.XLOOKUP(tblAnalysis[[#This Row],[Product ID]], tblProducts[Product ID], tblProducts[Category])</f>
        <v>Electronics</v>
      </c>
      <c r="H104" s="22">
        <f>_xlfn.XLOOKUP(tblAnalysis[[#This Row],[Product ID]], tblProducts[Product ID], tblProducts[Unit Price])</f>
        <v>60</v>
      </c>
      <c r="I104" s="22">
        <f>_xlfn.XLOOKUP(tblAnalysis[[#This Row],[Product ID]], tblProducts[Product ID], tblProducts[Unit Cost])</f>
        <v>35</v>
      </c>
      <c r="J104" t="str">
        <f>_xlfn.XLOOKUP(tblAnalysis[[#This Row],[Rep ID]], tblReps[Rep ID], tblReps[Sales Rep])</f>
        <v>Emma</v>
      </c>
      <c r="K104" t="str">
        <f>_xlfn.XLOOKUP(tblAnalysis[[#This Row],[Rep ID]], tblReps[Rep ID], tblReps[Region])</f>
        <v>Miami</v>
      </c>
      <c r="L104" s="22">
        <f>tblAnalysis[[#This Row],[Quantity]]*tblAnalysis[[#This Row],[Unit Price]]</f>
        <v>360</v>
      </c>
      <c r="M104" s="22">
        <f>tblAnalysis[[#This Row],[Quantity]]*(tblAnalysis[[#This Row],[Unit Price]]-tblAnalysis[[#This Row],[Unit Cost]])</f>
        <v>150</v>
      </c>
    </row>
    <row r="105" spans="1:13">
      <c r="A105" t="s">
        <v>159</v>
      </c>
      <c r="B105" s="1">
        <v>45723</v>
      </c>
      <c r="C105" t="s">
        <v>33</v>
      </c>
      <c r="D105" t="s">
        <v>5</v>
      </c>
      <c r="E105">
        <v>6</v>
      </c>
      <c r="F105" t="str">
        <f>_xlfn.XLOOKUP(tblAnalysis[[#This Row],[Product ID]], tblProducts[Product ID], tblProducts[Product Name])</f>
        <v>Headset</v>
      </c>
      <c r="G105" t="str">
        <f>_xlfn.XLOOKUP(tblAnalysis[[#This Row],[Product ID]], tblProducts[Product ID], tblProducts[Category])</f>
        <v>Electronics</v>
      </c>
      <c r="H105" s="22">
        <f>_xlfn.XLOOKUP(tblAnalysis[[#This Row],[Product ID]], tblProducts[Product ID], tblProducts[Unit Price])</f>
        <v>75</v>
      </c>
      <c r="I105" s="22">
        <f>_xlfn.XLOOKUP(tblAnalysis[[#This Row],[Product ID]], tblProducts[Product ID], tblProducts[Unit Cost])</f>
        <v>45</v>
      </c>
      <c r="J105" t="str">
        <f>_xlfn.XLOOKUP(tblAnalysis[[#This Row],[Rep ID]], tblReps[Rep ID], tblReps[Sales Rep])</f>
        <v>John</v>
      </c>
      <c r="K105" t="str">
        <f>_xlfn.XLOOKUP(tblAnalysis[[#This Row],[Rep ID]], tblReps[Rep ID], tblReps[Region])</f>
        <v>New York</v>
      </c>
      <c r="L105" s="22">
        <f>tblAnalysis[[#This Row],[Quantity]]*tblAnalysis[[#This Row],[Unit Price]]</f>
        <v>450</v>
      </c>
      <c r="M105" s="22">
        <f>tblAnalysis[[#This Row],[Quantity]]*(tblAnalysis[[#This Row],[Unit Price]]-tblAnalysis[[#This Row],[Unit Cost]])</f>
        <v>180</v>
      </c>
    </row>
    <row r="106" spans="1:13">
      <c r="A106" t="s">
        <v>160</v>
      </c>
      <c r="B106" s="1">
        <v>45725</v>
      </c>
      <c r="C106" t="s">
        <v>41</v>
      </c>
      <c r="D106" t="s">
        <v>14</v>
      </c>
      <c r="E106">
        <v>10</v>
      </c>
      <c r="F106" t="str">
        <f>_xlfn.XLOOKUP(tblAnalysis[[#This Row],[Product ID]], tblProducts[Product ID], tblProducts[Product Name])</f>
        <v>Blender</v>
      </c>
      <c r="G106" t="str">
        <f>_xlfn.XLOOKUP(tblAnalysis[[#This Row],[Product ID]], tblProducts[Product ID], tblProducts[Category])</f>
        <v>Home &amp; Living</v>
      </c>
      <c r="H106" s="22">
        <f>_xlfn.XLOOKUP(tblAnalysis[[#This Row],[Product ID]], tblProducts[Product ID], tblProducts[Unit Price])</f>
        <v>50</v>
      </c>
      <c r="I106" s="22">
        <f>_xlfn.XLOOKUP(tblAnalysis[[#This Row],[Product ID]], tblProducts[Product ID], tblProducts[Unit Cost])</f>
        <v>30</v>
      </c>
      <c r="J106" t="str">
        <f>_xlfn.XLOOKUP(tblAnalysis[[#This Row],[Rep ID]], tblReps[Rep ID], tblReps[Sales Rep])</f>
        <v>Sarah</v>
      </c>
      <c r="K106" t="str">
        <f>_xlfn.XLOOKUP(tblAnalysis[[#This Row],[Rep ID]], tblReps[Rep ID], tblReps[Region])</f>
        <v>Chicago</v>
      </c>
      <c r="L106" s="22">
        <f>tblAnalysis[[#This Row],[Quantity]]*tblAnalysis[[#This Row],[Unit Price]]</f>
        <v>500</v>
      </c>
      <c r="M106" s="22">
        <f>tblAnalysis[[#This Row],[Quantity]]*(tblAnalysis[[#This Row],[Unit Price]]-tblAnalysis[[#This Row],[Unit Cost]])</f>
        <v>200</v>
      </c>
    </row>
    <row r="107" spans="1:13">
      <c r="A107" t="s">
        <v>161</v>
      </c>
      <c r="B107" s="1">
        <v>45726</v>
      </c>
      <c r="C107" t="s">
        <v>49</v>
      </c>
      <c r="D107" t="s">
        <v>21</v>
      </c>
      <c r="E107">
        <v>8</v>
      </c>
      <c r="F107" t="str">
        <f>_xlfn.XLOOKUP(tblAnalysis[[#This Row],[Product ID]], tblProducts[Product ID], tblProducts[Product Name])</f>
        <v>T-Shirt</v>
      </c>
      <c r="G107" t="str">
        <f>_xlfn.XLOOKUP(tblAnalysis[[#This Row],[Product ID]], tblProducts[Product ID], tblProducts[Category])</f>
        <v>Fashion</v>
      </c>
      <c r="H107" s="22">
        <f>_xlfn.XLOOKUP(tblAnalysis[[#This Row],[Product ID]], tblProducts[Product ID], tblProducts[Unit Price])</f>
        <v>20</v>
      </c>
      <c r="I107" s="22">
        <f>_xlfn.XLOOKUP(tblAnalysis[[#This Row],[Product ID]], tblProducts[Product ID], tblProducts[Unit Cost])</f>
        <v>8</v>
      </c>
      <c r="J107" t="str">
        <f>_xlfn.XLOOKUP(tblAnalysis[[#This Row],[Rep ID]], tblReps[Rep ID], tblReps[Sales Rep])</f>
        <v>Emma</v>
      </c>
      <c r="K107" t="str">
        <f>_xlfn.XLOOKUP(tblAnalysis[[#This Row],[Rep ID]], tblReps[Rep ID], tblReps[Region])</f>
        <v>Miami</v>
      </c>
      <c r="L107" s="22">
        <f>tblAnalysis[[#This Row],[Quantity]]*tblAnalysis[[#This Row],[Unit Price]]</f>
        <v>160</v>
      </c>
      <c r="M107" s="22">
        <f>tblAnalysis[[#This Row],[Quantity]]*(tblAnalysis[[#This Row],[Unit Price]]-tblAnalysis[[#This Row],[Unit Cost]])</f>
        <v>96</v>
      </c>
    </row>
    <row r="108" spans="1:13">
      <c r="A108" t="s">
        <v>162</v>
      </c>
      <c r="B108" s="1">
        <v>45726</v>
      </c>
      <c r="C108" t="s">
        <v>45</v>
      </c>
      <c r="D108" t="s">
        <v>24</v>
      </c>
      <c r="E108">
        <v>4</v>
      </c>
      <c r="F108" t="str">
        <f>_xlfn.XLOOKUP(tblAnalysis[[#This Row],[Product ID]], tblProducts[Product ID], tblProducts[Product Name])</f>
        <v>Pants</v>
      </c>
      <c r="G108" t="str">
        <f>_xlfn.XLOOKUP(tblAnalysis[[#This Row],[Product ID]], tblProducts[Product ID], tblProducts[Category])</f>
        <v>Fashion</v>
      </c>
      <c r="H108" s="22">
        <f>_xlfn.XLOOKUP(tblAnalysis[[#This Row],[Product ID]], tblProducts[Product ID], tblProducts[Unit Price])</f>
        <v>40</v>
      </c>
      <c r="I108" s="22">
        <f>_xlfn.XLOOKUP(tblAnalysis[[#This Row],[Product ID]], tblProducts[Product ID], tblProducts[Unit Cost])</f>
        <v>18</v>
      </c>
      <c r="J108" t="str">
        <f>_xlfn.XLOOKUP(tblAnalysis[[#This Row],[Rep ID]], tblReps[Rep ID], tblReps[Sales Rep])</f>
        <v>David</v>
      </c>
      <c r="K108" t="str">
        <f>_xlfn.XLOOKUP(tblAnalysis[[#This Row],[Rep ID]], tblReps[Rep ID], tblReps[Region])</f>
        <v>Houston</v>
      </c>
      <c r="L108" s="22">
        <f>tblAnalysis[[#This Row],[Quantity]]*tblAnalysis[[#This Row],[Unit Price]]</f>
        <v>160</v>
      </c>
      <c r="M108" s="22">
        <f>tblAnalysis[[#This Row],[Quantity]]*(tblAnalysis[[#This Row],[Unit Price]]-tblAnalysis[[#This Row],[Unit Cost]])</f>
        <v>88</v>
      </c>
    </row>
    <row r="109" spans="1:13">
      <c r="A109" t="s">
        <v>163</v>
      </c>
      <c r="B109" s="1">
        <v>45726</v>
      </c>
      <c r="C109" t="s">
        <v>45</v>
      </c>
      <c r="D109" t="s">
        <v>12</v>
      </c>
      <c r="E109">
        <v>4</v>
      </c>
      <c r="F109" t="str">
        <f>_xlfn.XLOOKUP(tblAnalysis[[#This Row],[Product ID]], tblProducts[Product ID], tblProducts[Product Name])</f>
        <v>Webcam</v>
      </c>
      <c r="G109" t="str">
        <f>_xlfn.XLOOKUP(tblAnalysis[[#This Row],[Product ID]], tblProducts[Product ID], tblProducts[Category])</f>
        <v>Electronics</v>
      </c>
      <c r="H109" s="22">
        <f>_xlfn.XLOOKUP(tblAnalysis[[#This Row],[Product ID]], tblProducts[Product ID], tblProducts[Unit Price])</f>
        <v>60</v>
      </c>
      <c r="I109" s="22">
        <f>_xlfn.XLOOKUP(tblAnalysis[[#This Row],[Product ID]], tblProducts[Product ID], tblProducts[Unit Cost])</f>
        <v>35</v>
      </c>
      <c r="J109" t="str">
        <f>_xlfn.XLOOKUP(tblAnalysis[[#This Row],[Rep ID]], tblReps[Rep ID], tblReps[Sales Rep])</f>
        <v>David</v>
      </c>
      <c r="K109" t="str">
        <f>_xlfn.XLOOKUP(tblAnalysis[[#This Row],[Rep ID]], tblReps[Rep ID], tblReps[Region])</f>
        <v>Houston</v>
      </c>
      <c r="L109" s="22">
        <f>tblAnalysis[[#This Row],[Quantity]]*tblAnalysis[[#This Row],[Unit Price]]</f>
        <v>240</v>
      </c>
      <c r="M109" s="22">
        <f>tblAnalysis[[#This Row],[Quantity]]*(tblAnalysis[[#This Row],[Unit Price]]-tblAnalysis[[#This Row],[Unit Cost]])</f>
        <v>100</v>
      </c>
    </row>
    <row r="110" spans="1:13">
      <c r="A110" t="s">
        <v>164</v>
      </c>
      <c r="B110" s="1">
        <v>45729</v>
      </c>
      <c r="C110" t="s">
        <v>37</v>
      </c>
      <c r="D110" t="s">
        <v>14</v>
      </c>
      <c r="E110">
        <v>5</v>
      </c>
      <c r="F110" t="str">
        <f>_xlfn.XLOOKUP(tblAnalysis[[#This Row],[Product ID]], tblProducts[Product ID], tblProducts[Product Name])</f>
        <v>Blender</v>
      </c>
      <c r="G110" t="str">
        <f>_xlfn.XLOOKUP(tblAnalysis[[#This Row],[Product ID]], tblProducts[Product ID], tblProducts[Category])</f>
        <v>Home &amp; Living</v>
      </c>
      <c r="H110" s="22">
        <f>_xlfn.XLOOKUP(tblAnalysis[[#This Row],[Product ID]], tblProducts[Product ID], tblProducts[Unit Price])</f>
        <v>50</v>
      </c>
      <c r="I110" s="22">
        <f>_xlfn.XLOOKUP(tblAnalysis[[#This Row],[Product ID]], tblProducts[Product ID], tblProducts[Unit Cost])</f>
        <v>30</v>
      </c>
      <c r="J110" t="str">
        <f>_xlfn.XLOOKUP(tblAnalysis[[#This Row],[Rep ID]], tblReps[Rep ID], tblReps[Sales Rep])</f>
        <v>Mike</v>
      </c>
      <c r="K110" t="str">
        <f>_xlfn.XLOOKUP(tblAnalysis[[#This Row],[Rep ID]], tblReps[Rep ID], tblReps[Region])</f>
        <v>Los Angeles</v>
      </c>
      <c r="L110" s="22">
        <f>tblAnalysis[[#This Row],[Quantity]]*tblAnalysis[[#This Row],[Unit Price]]</f>
        <v>250</v>
      </c>
      <c r="M110" s="22">
        <f>tblAnalysis[[#This Row],[Quantity]]*(tblAnalysis[[#This Row],[Unit Price]]-tblAnalysis[[#This Row],[Unit Cost]])</f>
        <v>100</v>
      </c>
    </row>
    <row r="111" spans="1:13">
      <c r="A111" t="s">
        <v>165</v>
      </c>
      <c r="B111" s="1">
        <v>45732</v>
      </c>
      <c r="C111" t="s">
        <v>41</v>
      </c>
      <c r="D111" t="s">
        <v>26</v>
      </c>
      <c r="E111">
        <v>2</v>
      </c>
      <c r="F111" t="str">
        <f>_xlfn.XLOOKUP(tblAnalysis[[#This Row],[Product ID]], tblProducts[Product ID], tblProducts[Product Name])</f>
        <v>Shoes</v>
      </c>
      <c r="G111" t="str">
        <f>_xlfn.XLOOKUP(tblAnalysis[[#This Row],[Product ID]], tblProducts[Product ID], tblProducts[Category])</f>
        <v>Fashion</v>
      </c>
      <c r="H111" s="22">
        <f>_xlfn.XLOOKUP(tblAnalysis[[#This Row],[Product ID]], tblProducts[Product ID], tblProducts[Unit Price])</f>
        <v>75</v>
      </c>
      <c r="I111" s="22">
        <f>_xlfn.XLOOKUP(tblAnalysis[[#This Row],[Product ID]], tblProducts[Product ID], tblProducts[Unit Cost])</f>
        <v>40</v>
      </c>
      <c r="J111" t="str">
        <f>_xlfn.XLOOKUP(tblAnalysis[[#This Row],[Rep ID]], tblReps[Rep ID], tblReps[Sales Rep])</f>
        <v>Sarah</v>
      </c>
      <c r="K111" t="str">
        <f>_xlfn.XLOOKUP(tblAnalysis[[#This Row],[Rep ID]], tblReps[Rep ID], tblReps[Region])</f>
        <v>Chicago</v>
      </c>
      <c r="L111" s="22">
        <f>tblAnalysis[[#This Row],[Quantity]]*tblAnalysis[[#This Row],[Unit Price]]</f>
        <v>150</v>
      </c>
      <c r="M111" s="22">
        <f>tblAnalysis[[#This Row],[Quantity]]*(tblAnalysis[[#This Row],[Unit Price]]-tblAnalysis[[#This Row],[Unit Cost]])</f>
        <v>70</v>
      </c>
    </row>
    <row r="112" spans="1:13">
      <c r="A112" t="s">
        <v>166</v>
      </c>
      <c r="B112" s="1">
        <v>45732</v>
      </c>
      <c r="C112" t="s">
        <v>33</v>
      </c>
      <c r="D112" t="s">
        <v>14</v>
      </c>
      <c r="E112">
        <v>2</v>
      </c>
      <c r="F112" t="str">
        <f>_xlfn.XLOOKUP(tblAnalysis[[#This Row],[Product ID]], tblProducts[Product ID], tblProducts[Product Name])</f>
        <v>Blender</v>
      </c>
      <c r="G112" t="str">
        <f>_xlfn.XLOOKUP(tblAnalysis[[#This Row],[Product ID]], tblProducts[Product ID], tblProducts[Category])</f>
        <v>Home &amp; Living</v>
      </c>
      <c r="H112" s="22">
        <f>_xlfn.XLOOKUP(tblAnalysis[[#This Row],[Product ID]], tblProducts[Product ID], tblProducts[Unit Price])</f>
        <v>50</v>
      </c>
      <c r="I112" s="22">
        <f>_xlfn.XLOOKUP(tblAnalysis[[#This Row],[Product ID]], tblProducts[Product ID], tblProducts[Unit Cost])</f>
        <v>30</v>
      </c>
      <c r="J112" t="str">
        <f>_xlfn.XLOOKUP(tblAnalysis[[#This Row],[Rep ID]], tblReps[Rep ID], tblReps[Sales Rep])</f>
        <v>John</v>
      </c>
      <c r="K112" t="str">
        <f>_xlfn.XLOOKUP(tblAnalysis[[#This Row],[Rep ID]], tblReps[Rep ID], tblReps[Region])</f>
        <v>New York</v>
      </c>
      <c r="L112" s="22">
        <f>tblAnalysis[[#This Row],[Quantity]]*tblAnalysis[[#This Row],[Unit Price]]</f>
        <v>100</v>
      </c>
      <c r="M112" s="22">
        <f>tblAnalysis[[#This Row],[Quantity]]*(tblAnalysis[[#This Row],[Unit Price]]-tblAnalysis[[#This Row],[Unit Cost]])</f>
        <v>40</v>
      </c>
    </row>
    <row r="113" spans="1:13">
      <c r="A113" t="s">
        <v>167</v>
      </c>
      <c r="B113" s="1">
        <v>45733</v>
      </c>
      <c r="C113" t="s">
        <v>45</v>
      </c>
      <c r="D113" t="s">
        <v>10</v>
      </c>
      <c r="E113">
        <v>8</v>
      </c>
      <c r="F113" t="str">
        <f>_xlfn.XLOOKUP(tblAnalysis[[#This Row],[Product ID]], tblProducts[Product ID], tblProducts[Product Name])</f>
        <v>Keyboard</v>
      </c>
      <c r="G113" t="str">
        <f>_xlfn.XLOOKUP(tblAnalysis[[#This Row],[Product ID]], tblProducts[Product ID], tblProducts[Category])</f>
        <v>Electronics</v>
      </c>
      <c r="H113" s="22">
        <f>_xlfn.XLOOKUP(tblAnalysis[[#This Row],[Product ID]], tblProducts[Product ID], tblProducts[Unit Price])</f>
        <v>40</v>
      </c>
      <c r="I113" s="22">
        <f>_xlfn.XLOOKUP(tblAnalysis[[#This Row],[Product ID]], tblProducts[Product ID], tblProducts[Unit Cost])</f>
        <v>22</v>
      </c>
      <c r="J113" t="str">
        <f>_xlfn.XLOOKUP(tblAnalysis[[#This Row],[Rep ID]], tblReps[Rep ID], tblReps[Sales Rep])</f>
        <v>David</v>
      </c>
      <c r="K113" t="str">
        <f>_xlfn.XLOOKUP(tblAnalysis[[#This Row],[Rep ID]], tblReps[Rep ID], tblReps[Region])</f>
        <v>Houston</v>
      </c>
      <c r="L113" s="22">
        <f>tblAnalysis[[#This Row],[Quantity]]*tblAnalysis[[#This Row],[Unit Price]]</f>
        <v>320</v>
      </c>
      <c r="M113" s="22">
        <f>tblAnalysis[[#This Row],[Quantity]]*(tblAnalysis[[#This Row],[Unit Price]]-tblAnalysis[[#This Row],[Unit Cost]])</f>
        <v>144</v>
      </c>
    </row>
    <row r="114" spans="1:13">
      <c r="A114" t="s">
        <v>168</v>
      </c>
      <c r="B114" s="1">
        <v>45733</v>
      </c>
      <c r="C114" t="s">
        <v>33</v>
      </c>
      <c r="D114" t="s">
        <v>24</v>
      </c>
      <c r="E114">
        <v>1</v>
      </c>
      <c r="F114" t="str">
        <f>_xlfn.XLOOKUP(tblAnalysis[[#This Row],[Product ID]], tblProducts[Product ID], tblProducts[Product Name])</f>
        <v>Pants</v>
      </c>
      <c r="G114" t="str">
        <f>_xlfn.XLOOKUP(tblAnalysis[[#This Row],[Product ID]], tblProducts[Product ID], tblProducts[Category])</f>
        <v>Fashion</v>
      </c>
      <c r="H114" s="22">
        <f>_xlfn.XLOOKUP(tblAnalysis[[#This Row],[Product ID]], tblProducts[Product ID], tblProducts[Unit Price])</f>
        <v>40</v>
      </c>
      <c r="I114" s="22">
        <f>_xlfn.XLOOKUP(tblAnalysis[[#This Row],[Product ID]], tblProducts[Product ID], tblProducts[Unit Cost])</f>
        <v>18</v>
      </c>
      <c r="J114" t="str">
        <f>_xlfn.XLOOKUP(tblAnalysis[[#This Row],[Rep ID]], tblReps[Rep ID], tblReps[Sales Rep])</f>
        <v>John</v>
      </c>
      <c r="K114" t="str">
        <f>_xlfn.XLOOKUP(tblAnalysis[[#This Row],[Rep ID]], tblReps[Rep ID], tblReps[Region])</f>
        <v>New York</v>
      </c>
      <c r="L114" s="22">
        <f>tblAnalysis[[#This Row],[Quantity]]*tblAnalysis[[#This Row],[Unit Price]]</f>
        <v>40</v>
      </c>
      <c r="M114" s="22">
        <f>tblAnalysis[[#This Row],[Quantity]]*(tblAnalysis[[#This Row],[Unit Price]]-tblAnalysis[[#This Row],[Unit Cost]])</f>
        <v>22</v>
      </c>
    </row>
    <row r="115" spans="1:13">
      <c r="A115" t="s">
        <v>169</v>
      </c>
      <c r="B115" s="1">
        <v>45738</v>
      </c>
      <c r="C115" t="s">
        <v>37</v>
      </c>
      <c r="D115" t="s">
        <v>14</v>
      </c>
      <c r="E115">
        <v>3</v>
      </c>
      <c r="F115" t="str">
        <f>_xlfn.XLOOKUP(tblAnalysis[[#This Row],[Product ID]], tblProducts[Product ID], tblProducts[Product Name])</f>
        <v>Blender</v>
      </c>
      <c r="G115" t="str">
        <f>_xlfn.XLOOKUP(tblAnalysis[[#This Row],[Product ID]], tblProducts[Product ID], tblProducts[Category])</f>
        <v>Home &amp; Living</v>
      </c>
      <c r="H115" s="22">
        <f>_xlfn.XLOOKUP(tblAnalysis[[#This Row],[Product ID]], tblProducts[Product ID], tblProducts[Unit Price])</f>
        <v>50</v>
      </c>
      <c r="I115" s="22">
        <f>_xlfn.XLOOKUP(tblAnalysis[[#This Row],[Product ID]], tblProducts[Product ID], tblProducts[Unit Cost])</f>
        <v>30</v>
      </c>
      <c r="J115" t="str">
        <f>_xlfn.XLOOKUP(tblAnalysis[[#This Row],[Rep ID]], tblReps[Rep ID], tblReps[Sales Rep])</f>
        <v>Mike</v>
      </c>
      <c r="K115" t="str">
        <f>_xlfn.XLOOKUP(tblAnalysis[[#This Row],[Rep ID]], tblReps[Rep ID], tblReps[Region])</f>
        <v>Los Angeles</v>
      </c>
      <c r="L115" s="22">
        <f>tblAnalysis[[#This Row],[Quantity]]*tblAnalysis[[#This Row],[Unit Price]]</f>
        <v>150</v>
      </c>
      <c r="M115" s="22">
        <f>tblAnalysis[[#This Row],[Quantity]]*(tblAnalysis[[#This Row],[Unit Price]]-tblAnalysis[[#This Row],[Unit Cost]])</f>
        <v>60</v>
      </c>
    </row>
    <row r="116" spans="1:13">
      <c r="A116" t="s">
        <v>170</v>
      </c>
      <c r="B116" s="1">
        <v>45738</v>
      </c>
      <c r="C116" t="s">
        <v>33</v>
      </c>
      <c r="D116" t="s">
        <v>26</v>
      </c>
      <c r="E116">
        <v>1</v>
      </c>
      <c r="F116" t="str">
        <f>_xlfn.XLOOKUP(tblAnalysis[[#This Row],[Product ID]], tblProducts[Product ID], tblProducts[Product Name])</f>
        <v>Shoes</v>
      </c>
      <c r="G116" t="str">
        <f>_xlfn.XLOOKUP(tblAnalysis[[#This Row],[Product ID]], tblProducts[Product ID], tblProducts[Category])</f>
        <v>Fashion</v>
      </c>
      <c r="H116" s="22">
        <f>_xlfn.XLOOKUP(tblAnalysis[[#This Row],[Product ID]], tblProducts[Product ID], tblProducts[Unit Price])</f>
        <v>75</v>
      </c>
      <c r="I116" s="22">
        <f>_xlfn.XLOOKUP(tblAnalysis[[#This Row],[Product ID]], tblProducts[Product ID], tblProducts[Unit Cost])</f>
        <v>40</v>
      </c>
      <c r="J116" t="str">
        <f>_xlfn.XLOOKUP(tblAnalysis[[#This Row],[Rep ID]], tblReps[Rep ID], tblReps[Sales Rep])</f>
        <v>John</v>
      </c>
      <c r="K116" t="str">
        <f>_xlfn.XLOOKUP(tblAnalysis[[#This Row],[Rep ID]], tblReps[Rep ID], tblReps[Region])</f>
        <v>New York</v>
      </c>
      <c r="L116" s="22">
        <f>tblAnalysis[[#This Row],[Quantity]]*tblAnalysis[[#This Row],[Unit Price]]</f>
        <v>75</v>
      </c>
      <c r="M116" s="22">
        <f>tblAnalysis[[#This Row],[Quantity]]*(tblAnalysis[[#This Row],[Unit Price]]-tblAnalysis[[#This Row],[Unit Cost]])</f>
        <v>35</v>
      </c>
    </row>
    <row r="117" spans="1:13">
      <c r="A117" t="s">
        <v>171</v>
      </c>
      <c r="B117" s="1">
        <v>45738</v>
      </c>
      <c r="C117" t="s">
        <v>41</v>
      </c>
      <c r="D117" t="s">
        <v>24</v>
      </c>
      <c r="E117">
        <v>2</v>
      </c>
      <c r="F117" t="str">
        <f>_xlfn.XLOOKUP(tblAnalysis[[#This Row],[Product ID]], tblProducts[Product ID], tblProducts[Product Name])</f>
        <v>Pants</v>
      </c>
      <c r="G117" t="str">
        <f>_xlfn.XLOOKUP(tblAnalysis[[#This Row],[Product ID]], tblProducts[Product ID], tblProducts[Category])</f>
        <v>Fashion</v>
      </c>
      <c r="H117" s="22">
        <f>_xlfn.XLOOKUP(tblAnalysis[[#This Row],[Product ID]], tblProducts[Product ID], tblProducts[Unit Price])</f>
        <v>40</v>
      </c>
      <c r="I117" s="22">
        <f>_xlfn.XLOOKUP(tblAnalysis[[#This Row],[Product ID]], tblProducts[Product ID], tblProducts[Unit Cost])</f>
        <v>18</v>
      </c>
      <c r="J117" t="str">
        <f>_xlfn.XLOOKUP(tblAnalysis[[#This Row],[Rep ID]], tblReps[Rep ID], tblReps[Sales Rep])</f>
        <v>Sarah</v>
      </c>
      <c r="K117" t="str">
        <f>_xlfn.XLOOKUP(tblAnalysis[[#This Row],[Rep ID]], tblReps[Rep ID], tblReps[Region])</f>
        <v>Chicago</v>
      </c>
      <c r="L117" s="22">
        <f>tblAnalysis[[#This Row],[Quantity]]*tblAnalysis[[#This Row],[Unit Price]]</f>
        <v>80</v>
      </c>
      <c r="M117" s="22">
        <f>tblAnalysis[[#This Row],[Quantity]]*(tblAnalysis[[#This Row],[Unit Price]]-tblAnalysis[[#This Row],[Unit Cost]])</f>
        <v>44</v>
      </c>
    </row>
    <row r="118" spans="1:13">
      <c r="A118" t="s">
        <v>172</v>
      </c>
      <c r="B118" s="1">
        <v>45741</v>
      </c>
      <c r="C118" t="s">
        <v>41</v>
      </c>
      <c r="D118" t="s">
        <v>5</v>
      </c>
      <c r="E118">
        <v>5</v>
      </c>
      <c r="F118" t="str">
        <f>_xlfn.XLOOKUP(tblAnalysis[[#This Row],[Product ID]], tblProducts[Product ID], tblProducts[Product Name])</f>
        <v>Headset</v>
      </c>
      <c r="G118" t="str">
        <f>_xlfn.XLOOKUP(tblAnalysis[[#This Row],[Product ID]], tblProducts[Product ID], tblProducts[Category])</f>
        <v>Electronics</v>
      </c>
      <c r="H118" s="22">
        <f>_xlfn.XLOOKUP(tblAnalysis[[#This Row],[Product ID]], tblProducts[Product ID], tblProducts[Unit Price])</f>
        <v>75</v>
      </c>
      <c r="I118" s="22">
        <f>_xlfn.XLOOKUP(tblAnalysis[[#This Row],[Product ID]], tblProducts[Product ID], tblProducts[Unit Cost])</f>
        <v>45</v>
      </c>
      <c r="J118" t="str">
        <f>_xlfn.XLOOKUP(tblAnalysis[[#This Row],[Rep ID]], tblReps[Rep ID], tblReps[Sales Rep])</f>
        <v>Sarah</v>
      </c>
      <c r="K118" t="str">
        <f>_xlfn.XLOOKUP(tblAnalysis[[#This Row],[Rep ID]], tblReps[Rep ID], tblReps[Region])</f>
        <v>Chicago</v>
      </c>
      <c r="L118" s="22">
        <f>tblAnalysis[[#This Row],[Quantity]]*tblAnalysis[[#This Row],[Unit Price]]</f>
        <v>375</v>
      </c>
      <c r="M118" s="22">
        <f>tblAnalysis[[#This Row],[Quantity]]*(tblAnalysis[[#This Row],[Unit Price]]-tblAnalysis[[#This Row],[Unit Cost]])</f>
        <v>150</v>
      </c>
    </row>
    <row r="119" spans="1:13">
      <c r="A119" t="s">
        <v>173</v>
      </c>
      <c r="B119" s="1">
        <v>45743</v>
      </c>
      <c r="C119" t="s">
        <v>49</v>
      </c>
      <c r="D119" t="s">
        <v>14</v>
      </c>
      <c r="E119">
        <v>10</v>
      </c>
      <c r="F119" t="str">
        <f>_xlfn.XLOOKUP(tblAnalysis[[#This Row],[Product ID]], tblProducts[Product ID], tblProducts[Product Name])</f>
        <v>Blender</v>
      </c>
      <c r="G119" t="str">
        <f>_xlfn.XLOOKUP(tblAnalysis[[#This Row],[Product ID]], tblProducts[Product ID], tblProducts[Category])</f>
        <v>Home &amp; Living</v>
      </c>
      <c r="H119" s="22">
        <f>_xlfn.XLOOKUP(tblAnalysis[[#This Row],[Product ID]], tblProducts[Product ID], tblProducts[Unit Price])</f>
        <v>50</v>
      </c>
      <c r="I119" s="22">
        <f>_xlfn.XLOOKUP(tblAnalysis[[#This Row],[Product ID]], tblProducts[Product ID], tblProducts[Unit Cost])</f>
        <v>30</v>
      </c>
      <c r="J119" t="str">
        <f>_xlfn.XLOOKUP(tblAnalysis[[#This Row],[Rep ID]], tblReps[Rep ID], tblReps[Sales Rep])</f>
        <v>Emma</v>
      </c>
      <c r="K119" t="str">
        <f>_xlfn.XLOOKUP(tblAnalysis[[#This Row],[Rep ID]], tblReps[Rep ID], tblReps[Region])</f>
        <v>Miami</v>
      </c>
      <c r="L119" s="22">
        <f>tblAnalysis[[#This Row],[Quantity]]*tblAnalysis[[#This Row],[Unit Price]]</f>
        <v>500</v>
      </c>
      <c r="M119" s="22">
        <f>tblAnalysis[[#This Row],[Quantity]]*(tblAnalysis[[#This Row],[Unit Price]]-tblAnalysis[[#This Row],[Unit Cost]])</f>
        <v>200</v>
      </c>
    </row>
    <row r="120" spans="1:13">
      <c r="A120" t="s">
        <v>174</v>
      </c>
      <c r="B120" s="1">
        <v>45743</v>
      </c>
      <c r="C120" t="s">
        <v>37</v>
      </c>
      <c r="D120" t="s">
        <v>24</v>
      </c>
      <c r="E120">
        <v>7</v>
      </c>
      <c r="F120" t="str">
        <f>_xlfn.XLOOKUP(tblAnalysis[[#This Row],[Product ID]], tblProducts[Product ID], tblProducts[Product Name])</f>
        <v>Pants</v>
      </c>
      <c r="G120" t="str">
        <f>_xlfn.XLOOKUP(tblAnalysis[[#This Row],[Product ID]], tblProducts[Product ID], tblProducts[Category])</f>
        <v>Fashion</v>
      </c>
      <c r="H120" s="22">
        <f>_xlfn.XLOOKUP(tblAnalysis[[#This Row],[Product ID]], tblProducts[Product ID], tblProducts[Unit Price])</f>
        <v>40</v>
      </c>
      <c r="I120" s="22">
        <f>_xlfn.XLOOKUP(tblAnalysis[[#This Row],[Product ID]], tblProducts[Product ID], tblProducts[Unit Cost])</f>
        <v>18</v>
      </c>
      <c r="J120" t="str">
        <f>_xlfn.XLOOKUP(tblAnalysis[[#This Row],[Rep ID]], tblReps[Rep ID], tblReps[Sales Rep])</f>
        <v>Mike</v>
      </c>
      <c r="K120" t="str">
        <f>_xlfn.XLOOKUP(tblAnalysis[[#This Row],[Rep ID]], tblReps[Rep ID], tblReps[Region])</f>
        <v>Los Angeles</v>
      </c>
      <c r="L120" s="22">
        <f>tblAnalysis[[#This Row],[Quantity]]*tblAnalysis[[#This Row],[Unit Price]]</f>
        <v>280</v>
      </c>
      <c r="M120" s="22">
        <f>tblAnalysis[[#This Row],[Quantity]]*(tblAnalysis[[#This Row],[Unit Price]]-tblAnalysis[[#This Row],[Unit Cost]])</f>
        <v>154</v>
      </c>
    </row>
    <row r="121" spans="1:13">
      <c r="A121" t="s">
        <v>175</v>
      </c>
      <c r="B121" s="1">
        <v>45745</v>
      </c>
      <c r="C121" t="s">
        <v>49</v>
      </c>
      <c r="D121" t="s">
        <v>8</v>
      </c>
      <c r="E121">
        <v>10</v>
      </c>
      <c r="F121" t="str">
        <f>_xlfn.XLOOKUP(tblAnalysis[[#This Row],[Product ID]], tblProducts[Product ID], tblProducts[Product Name])</f>
        <v>Mouse</v>
      </c>
      <c r="G121" t="str">
        <f>_xlfn.XLOOKUP(tblAnalysis[[#This Row],[Product ID]], tblProducts[Product ID], tblProducts[Category])</f>
        <v>Electronics</v>
      </c>
      <c r="H121" s="22">
        <f>_xlfn.XLOOKUP(tblAnalysis[[#This Row],[Product ID]], tblProducts[Product ID], tblProducts[Unit Price])</f>
        <v>25</v>
      </c>
      <c r="I121" s="22">
        <f>_xlfn.XLOOKUP(tblAnalysis[[#This Row],[Product ID]], tblProducts[Product ID], tblProducts[Unit Cost])</f>
        <v>12</v>
      </c>
      <c r="J121" t="str">
        <f>_xlfn.XLOOKUP(tblAnalysis[[#This Row],[Rep ID]], tblReps[Rep ID], tblReps[Sales Rep])</f>
        <v>Emma</v>
      </c>
      <c r="K121" t="str">
        <f>_xlfn.XLOOKUP(tblAnalysis[[#This Row],[Rep ID]], tblReps[Rep ID], tblReps[Region])</f>
        <v>Miami</v>
      </c>
      <c r="L121" s="22">
        <f>tblAnalysis[[#This Row],[Quantity]]*tblAnalysis[[#This Row],[Unit Price]]</f>
        <v>250</v>
      </c>
      <c r="M121" s="22">
        <f>tblAnalysis[[#This Row],[Quantity]]*(tblAnalysis[[#This Row],[Unit Price]]-tblAnalysis[[#This Row],[Unit Cost]])</f>
        <v>130</v>
      </c>
    </row>
    <row r="122" spans="1:13">
      <c r="A122" t="s">
        <v>176</v>
      </c>
      <c r="B122" s="1">
        <v>45746</v>
      </c>
      <c r="C122" t="s">
        <v>37</v>
      </c>
      <c r="D122" t="s">
        <v>26</v>
      </c>
      <c r="E122">
        <v>2</v>
      </c>
      <c r="F122" t="str">
        <f>_xlfn.XLOOKUP(tblAnalysis[[#This Row],[Product ID]], tblProducts[Product ID], tblProducts[Product Name])</f>
        <v>Shoes</v>
      </c>
      <c r="G122" t="str">
        <f>_xlfn.XLOOKUP(tblAnalysis[[#This Row],[Product ID]], tblProducts[Product ID], tblProducts[Category])</f>
        <v>Fashion</v>
      </c>
      <c r="H122" s="22">
        <f>_xlfn.XLOOKUP(tblAnalysis[[#This Row],[Product ID]], tblProducts[Product ID], tblProducts[Unit Price])</f>
        <v>75</v>
      </c>
      <c r="I122" s="22">
        <f>_xlfn.XLOOKUP(tblAnalysis[[#This Row],[Product ID]], tblProducts[Product ID], tblProducts[Unit Cost])</f>
        <v>40</v>
      </c>
      <c r="J122" t="str">
        <f>_xlfn.XLOOKUP(tblAnalysis[[#This Row],[Rep ID]], tblReps[Rep ID], tblReps[Sales Rep])</f>
        <v>Mike</v>
      </c>
      <c r="K122" t="str">
        <f>_xlfn.XLOOKUP(tblAnalysis[[#This Row],[Rep ID]], tblReps[Rep ID], tblReps[Region])</f>
        <v>Los Angeles</v>
      </c>
      <c r="L122" s="22">
        <f>tblAnalysis[[#This Row],[Quantity]]*tblAnalysis[[#This Row],[Unit Price]]</f>
        <v>150</v>
      </c>
      <c r="M122" s="22">
        <f>tblAnalysis[[#This Row],[Quantity]]*(tblAnalysis[[#This Row],[Unit Price]]-tblAnalysis[[#This Row],[Unit Cost]])</f>
        <v>70</v>
      </c>
    </row>
    <row r="123" spans="1:13">
      <c r="A123" t="s">
        <v>177</v>
      </c>
      <c r="B123" s="1">
        <v>45746</v>
      </c>
      <c r="C123" t="s">
        <v>49</v>
      </c>
      <c r="D123" t="s">
        <v>26</v>
      </c>
      <c r="E123">
        <v>9</v>
      </c>
      <c r="F123" t="str">
        <f>_xlfn.XLOOKUP(tblAnalysis[[#This Row],[Product ID]], tblProducts[Product ID], tblProducts[Product Name])</f>
        <v>Shoes</v>
      </c>
      <c r="G123" t="str">
        <f>_xlfn.XLOOKUP(tblAnalysis[[#This Row],[Product ID]], tblProducts[Product ID], tblProducts[Category])</f>
        <v>Fashion</v>
      </c>
      <c r="H123" s="22">
        <f>_xlfn.XLOOKUP(tblAnalysis[[#This Row],[Product ID]], tblProducts[Product ID], tblProducts[Unit Price])</f>
        <v>75</v>
      </c>
      <c r="I123" s="22">
        <f>_xlfn.XLOOKUP(tblAnalysis[[#This Row],[Product ID]], tblProducts[Product ID], tblProducts[Unit Cost])</f>
        <v>40</v>
      </c>
      <c r="J123" t="str">
        <f>_xlfn.XLOOKUP(tblAnalysis[[#This Row],[Rep ID]], tblReps[Rep ID], tblReps[Sales Rep])</f>
        <v>Emma</v>
      </c>
      <c r="K123" t="str">
        <f>_xlfn.XLOOKUP(tblAnalysis[[#This Row],[Rep ID]], tblReps[Rep ID], tblReps[Region])</f>
        <v>Miami</v>
      </c>
      <c r="L123" s="22">
        <f>tblAnalysis[[#This Row],[Quantity]]*tblAnalysis[[#This Row],[Unit Price]]</f>
        <v>675</v>
      </c>
      <c r="M123" s="22">
        <f>tblAnalysis[[#This Row],[Quantity]]*(tblAnalysis[[#This Row],[Unit Price]]-tblAnalysis[[#This Row],[Unit Cost]])</f>
        <v>315</v>
      </c>
    </row>
    <row r="124" spans="1:13">
      <c r="A124" t="s">
        <v>178</v>
      </c>
      <c r="B124" s="1">
        <v>45747</v>
      </c>
      <c r="C124" t="s">
        <v>37</v>
      </c>
      <c r="D124" t="s">
        <v>17</v>
      </c>
      <c r="E124">
        <v>3</v>
      </c>
      <c r="F124" t="str">
        <f>_xlfn.XLOOKUP(tblAnalysis[[#This Row],[Product ID]], tblProducts[Product ID], tblProducts[Product Name])</f>
        <v>Iron</v>
      </c>
      <c r="G124" t="str">
        <f>_xlfn.XLOOKUP(tblAnalysis[[#This Row],[Product ID]], tblProducts[Product ID], tblProducts[Category])</f>
        <v>Home &amp; Living</v>
      </c>
      <c r="H124" s="22">
        <f>_xlfn.XLOOKUP(tblAnalysis[[#This Row],[Product ID]], tblProducts[Product ID], tblProducts[Unit Price])</f>
        <v>35</v>
      </c>
      <c r="I124" s="22">
        <f>_xlfn.XLOOKUP(tblAnalysis[[#This Row],[Product ID]], tblProducts[Product ID], tblProducts[Unit Cost])</f>
        <v>20</v>
      </c>
      <c r="J124" t="str">
        <f>_xlfn.XLOOKUP(tblAnalysis[[#This Row],[Rep ID]], tblReps[Rep ID], tblReps[Sales Rep])</f>
        <v>Mike</v>
      </c>
      <c r="K124" t="str">
        <f>_xlfn.XLOOKUP(tblAnalysis[[#This Row],[Rep ID]], tblReps[Rep ID], tblReps[Region])</f>
        <v>Los Angeles</v>
      </c>
      <c r="L124" s="22">
        <f>tblAnalysis[[#This Row],[Quantity]]*tblAnalysis[[#This Row],[Unit Price]]</f>
        <v>105</v>
      </c>
      <c r="M124" s="22">
        <f>tblAnalysis[[#This Row],[Quantity]]*(tblAnalysis[[#This Row],[Unit Price]]-tblAnalysis[[#This Row],[Unit Cost]])</f>
        <v>45</v>
      </c>
    </row>
    <row r="125" spans="1:13">
      <c r="A125" t="s">
        <v>179</v>
      </c>
      <c r="B125" s="1">
        <v>45747</v>
      </c>
      <c r="C125" t="s">
        <v>41</v>
      </c>
      <c r="D125" t="s">
        <v>8</v>
      </c>
      <c r="E125">
        <v>4</v>
      </c>
      <c r="F125" t="str">
        <f>_xlfn.XLOOKUP(tblAnalysis[[#This Row],[Product ID]], tblProducts[Product ID], tblProducts[Product Name])</f>
        <v>Mouse</v>
      </c>
      <c r="G125" t="str">
        <f>_xlfn.XLOOKUP(tblAnalysis[[#This Row],[Product ID]], tblProducts[Product ID], tblProducts[Category])</f>
        <v>Electronics</v>
      </c>
      <c r="H125" s="22">
        <f>_xlfn.XLOOKUP(tblAnalysis[[#This Row],[Product ID]], tblProducts[Product ID], tblProducts[Unit Price])</f>
        <v>25</v>
      </c>
      <c r="I125" s="22">
        <f>_xlfn.XLOOKUP(tblAnalysis[[#This Row],[Product ID]], tblProducts[Product ID], tblProducts[Unit Cost])</f>
        <v>12</v>
      </c>
      <c r="J125" t="str">
        <f>_xlfn.XLOOKUP(tblAnalysis[[#This Row],[Rep ID]], tblReps[Rep ID], tblReps[Sales Rep])</f>
        <v>Sarah</v>
      </c>
      <c r="K125" t="str">
        <f>_xlfn.XLOOKUP(tblAnalysis[[#This Row],[Rep ID]], tblReps[Rep ID], tblReps[Region])</f>
        <v>Chicago</v>
      </c>
      <c r="L125" s="22">
        <f>tblAnalysis[[#This Row],[Quantity]]*tblAnalysis[[#This Row],[Unit Price]]</f>
        <v>100</v>
      </c>
      <c r="M125" s="22">
        <f>tblAnalysis[[#This Row],[Quantity]]*(tblAnalysis[[#This Row],[Unit Price]]-tblAnalysis[[#This Row],[Unit Cost]])</f>
        <v>52</v>
      </c>
    </row>
    <row r="126" spans="1:13">
      <c r="A126" t="s">
        <v>180</v>
      </c>
      <c r="B126" s="1">
        <v>45749</v>
      </c>
      <c r="C126" t="s">
        <v>33</v>
      </c>
      <c r="D126" t="s">
        <v>26</v>
      </c>
      <c r="E126">
        <v>2</v>
      </c>
      <c r="F126" t="str">
        <f>_xlfn.XLOOKUP(tblAnalysis[[#This Row],[Product ID]], tblProducts[Product ID], tblProducts[Product Name])</f>
        <v>Shoes</v>
      </c>
      <c r="G126" t="str">
        <f>_xlfn.XLOOKUP(tblAnalysis[[#This Row],[Product ID]], tblProducts[Product ID], tblProducts[Category])</f>
        <v>Fashion</v>
      </c>
      <c r="H126" s="22">
        <f>_xlfn.XLOOKUP(tblAnalysis[[#This Row],[Product ID]], tblProducts[Product ID], tblProducts[Unit Price])</f>
        <v>75</v>
      </c>
      <c r="I126" s="22">
        <f>_xlfn.XLOOKUP(tblAnalysis[[#This Row],[Product ID]], tblProducts[Product ID], tblProducts[Unit Cost])</f>
        <v>40</v>
      </c>
      <c r="J126" t="str">
        <f>_xlfn.XLOOKUP(tblAnalysis[[#This Row],[Rep ID]], tblReps[Rep ID], tblReps[Sales Rep])</f>
        <v>John</v>
      </c>
      <c r="K126" t="str">
        <f>_xlfn.XLOOKUP(tblAnalysis[[#This Row],[Rep ID]], tblReps[Rep ID], tblReps[Region])</f>
        <v>New York</v>
      </c>
      <c r="L126" s="22">
        <f>tblAnalysis[[#This Row],[Quantity]]*tblAnalysis[[#This Row],[Unit Price]]</f>
        <v>150</v>
      </c>
      <c r="M126" s="22">
        <f>tblAnalysis[[#This Row],[Quantity]]*(tblAnalysis[[#This Row],[Unit Price]]-tblAnalysis[[#This Row],[Unit Cost]])</f>
        <v>70</v>
      </c>
    </row>
    <row r="127" spans="1:13">
      <c r="A127" t="s">
        <v>181</v>
      </c>
      <c r="B127" s="1">
        <v>45749</v>
      </c>
      <c r="C127" t="s">
        <v>33</v>
      </c>
      <c r="D127" t="s">
        <v>12</v>
      </c>
      <c r="E127">
        <v>10</v>
      </c>
      <c r="F127" t="str">
        <f>_xlfn.XLOOKUP(tblAnalysis[[#This Row],[Product ID]], tblProducts[Product ID], tblProducts[Product Name])</f>
        <v>Webcam</v>
      </c>
      <c r="G127" t="str">
        <f>_xlfn.XLOOKUP(tblAnalysis[[#This Row],[Product ID]], tblProducts[Product ID], tblProducts[Category])</f>
        <v>Electronics</v>
      </c>
      <c r="H127" s="22">
        <f>_xlfn.XLOOKUP(tblAnalysis[[#This Row],[Product ID]], tblProducts[Product ID], tblProducts[Unit Price])</f>
        <v>60</v>
      </c>
      <c r="I127" s="22">
        <f>_xlfn.XLOOKUP(tblAnalysis[[#This Row],[Product ID]], tblProducts[Product ID], tblProducts[Unit Cost])</f>
        <v>35</v>
      </c>
      <c r="J127" t="str">
        <f>_xlfn.XLOOKUP(tblAnalysis[[#This Row],[Rep ID]], tblReps[Rep ID], tblReps[Sales Rep])</f>
        <v>John</v>
      </c>
      <c r="K127" t="str">
        <f>_xlfn.XLOOKUP(tblAnalysis[[#This Row],[Rep ID]], tblReps[Rep ID], tblReps[Region])</f>
        <v>New York</v>
      </c>
      <c r="L127" s="22">
        <f>tblAnalysis[[#This Row],[Quantity]]*tblAnalysis[[#This Row],[Unit Price]]</f>
        <v>600</v>
      </c>
      <c r="M127" s="22">
        <f>tblAnalysis[[#This Row],[Quantity]]*(tblAnalysis[[#This Row],[Unit Price]]-tblAnalysis[[#This Row],[Unit Cost]])</f>
        <v>250</v>
      </c>
    </row>
    <row r="128" spans="1:13">
      <c r="A128" t="s">
        <v>182</v>
      </c>
      <c r="B128" s="1">
        <v>45749</v>
      </c>
      <c r="C128" t="s">
        <v>45</v>
      </c>
      <c r="D128" t="s">
        <v>24</v>
      </c>
      <c r="E128">
        <v>6</v>
      </c>
      <c r="F128" t="str">
        <f>_xlfn.XLOOKUP(tblAnalysis[[#This Row],[Product ID]], tblProducts[Product ID], tblProducts[Product Name])</f>
        <v>Pants</v>
      </c>
      <c r="G128" t="str">
        <f>_xlfn.XLOOKUP(tblAnalysis[[#This Row],[Product ID]], tblProducts[Product ID], tblProducts[Category])</f>
        <v>Fashion</v>
      </c>
      <c r="H128" s="22">
        <f>_xlfn.XLOOKUP(tblAnalysis[[#This Row],[Product ID]], tblProducts[Product ID], tblProducts[Unit Price])</f>
        <v>40</v>
      </c>
      <c r="I128" s="22">
        <f>_xlfn.XLOOKUP(tblAnalysis[[#This Row],[Product ID]], tblProducts[Product ID], tblProducts[Unit Cost])</f>
        <v>18</v>
      </c>
      <c r="J128" t="str">
        <f>_xlfn.XLOOKUP(tblAnalysis[[#This Row],[Rep ID]], tblReps[Rep ID], tblReps[Sales Rep])</f>
        <v>David</v>
      </c>
      <c r="K128" t="str">
        <f>_xlfn.XLOOKUP(tblAnalysis[[#This Row],[Rep ID]], tblReps[Rep ID], tblReps[Region])</f>
        <v>Houston</v>
      </c>
      <c r="L128" s="22">
        <f>tblAnalysis[[#This Row],[Quantity]]*tblAnalysis[[#This Row],[Unit Price]]</f>
        <v>240</v>
      </c>
      <c r="M128" s="22">
        <f>tblAnalysis[[#This Row],[Quantity]]*(tblAnalysis[[#This Row],[Unit Price]]-tblAnalysis[[#This Row],[Unit Cost]])</f>
        <v>132</v>
      </c>
    </row>
    <row r="129" spans="1:13">
      <c r="A129" t="s">
        <v>183</v>
      </c>
      <c r="B129" s="1">
        <v>45750</v>
      </c>
      <c r="C129" t="s">
        <v>41</v>
      </c>
      <c r="D129" t="s">
        <v>8</v>
      </c>
      <c r="E129">
        <v>2</v>
      </c>
      <c r="F129" t="str">
        <f>_xlfn.XLOOKUP(tblAnalysis[[#This Row],[Product ID]], tblProducts[Product ID], tblProducts[Product Name])</f>
        <v>Mouse</v>
      </c>
      <c r="G129" t="str">
        <f>_xlfn.XLOOKUP(tblAnalysis[[#This Row],[Product ID]], tblProducts[Product ID], tblProducts[Category])</f>
        <v>Electronics</v>
      </c>
      <c r="H129" s="22">
        <f>_xlfn.XLOOKUP(tblAnalysis[[#This Row],[Product ID]], tblProducts[Product ID], tblProducts[Unit Price])</f>
        <v>25</v>
      </c>
      <c r="I129" s="22">
        <f>_xlfn.XLOOKUP(tblAnalysis[[#This Row],[Product ID]], tblProducts[Product ID], tblProducts[Unit Cost])</f>
        <v>12</v>
      </c>
      <c r="J129" t="str">
        <f>_xlfn.XLOOKUP(tblAnalysis[[#This Row],[Rep ID]], tblReps[Rep ID], tblReps[Sales Rep])</f>
        <v>Sarah</v>
      </c>
      <c r="K129" t="str">
        <f>_xlfn.XLOOKUP(tblAnalysis[[#This Row],[Rep ID]], tblReps[Rep ID], tblReps[Region])</f>
        <v>Chicago</v>
      </c>
      <c r="L129" s="22">
        <f>tblAnalysis[[#This Row],[Quantity]]*tblAnalysis[[#This Row],[Unit Price]]</f>
        <v>50</v>
      </c>
      <c r="M129" s="22">
        <f>tblAnalysis[[#This Row],[Quantity]]*(tblAnalysis[[#This Row],[Unit Price]]-tblAnalysis[[#This Row],[Unit Cost]])</f>
        <v>26</v>
      </c>
    </row>
    <row r="130" spans="1:13">
      <c r="A130" t="s">
        <v>184</v>
      </c>
      <c r="B130" s="1">
        <v>45751</v>
      </c>
      <c r="C130" t="s">
        <v>41</v>
      </c>
      <c r="D130" t="s">
        <v>19</v>
      </c>
      <c r="E130">
        <v>6</v>
      </c>
      <c r="F130" t="str">
        <f>_xlfn.XLOOKUP(tblAnalysis[[#This Row],[Product ID]], tblProducts[Product ID], tblProducts[Product Name])</f>
        <v>Fan</v>
      </c>
      <c r="G130" t="str">
        <f>_xlfn.XLOOKUP(tblAnalysis[[#This Row],[Product ID]], tblProducts[Product ID], tblProducts[Category])</f>
        <v>Home &amp; Living</v>
      </c>
      <c r="H130" s="22">
        <f>_xlfn.XLOOKUP(tblAnalysis[[#This Row],[Product ID]], tblProducts[Product ID], tblProducts[Unit Price])</f>
        <v>45</v>
      </c>
      <c r="I130" s="22">
        <f>_xlfn.XLOOKUP(tblAnalysis[[#This Row],[Product ID]], tblProducts[Product ID], tblProducts[Unit Cost])</f>
        <v>25</v>
      </c>
      <c r="J130" t="str">
        <f>_xlfn.XLOOKUP(tblAnalysis[[#This Row],[Rep ID]], tblReps[Rep ID], tblReps[Sales Rep])</f>
        <v>Sarah</v>
      </c>
      <c r="K130" t="str">
        <f>_xlfn.XLOOKUP(tblAnalysis[[#This Row],[Rep ID]], tblReps[Rep ID], tblReps[Region])</f>
        <v>Chicago</v>
      </c>
      <c r="L130" s="22">
        <f>tblAnalysis[[#This Row],[Quantity]]*tblAnalysis[[#This Row],[Unit Price]]</f>
        <v>270</v>
      </c>
      <c r="M130" s="22">
        <f>tblAnalysis[[#This Row],[Quantity]]*(tblAnalysis[[#This Row],[Unit Price]]-tblAnalysis[[#This Row],[Unit Cost]])</f>
        <v>120</v>
      </c>
    </row>
    <row r="131" spans="1:13">
      <c r="A131" t="s">
        <v>185</v>
      </c>
      <c r="B131" s="1">
        <v>45752</v>
      </c>
      <c r="C131" t="s">
        <v>41</v>
      </c>
      <c r="D131" t="s">
        <v>14</v>
      </c>
      <c r="E131">
        <v>8</v>
      </c>
      <c r="F131" t="str">
        <f>_xlfn.XLOOKUP(tblAnalysis[[#This Row],[Product ID]], tblProducts[Product ID], tblProducts[Product Name])</f>
        <v>Blender</v>
      </c>
      <c r="G131" t="str">
        <f>_xlfn.XLOOKUP(tblAnalysis[[#This Row],[Product ID]], tblProducts[Product ID], tblProducts[Category])</f>
        <v>Home &amp; Living</v>
      </c>
      <c r="H131" s="22">
        <f>_xlfn.XLOOKUP(tblAnalysis[[#This Row],[Product ID]], tblProducts[Product ID], tblProducts[Unit Price])</f>
        <v>50</v>
      </c>
      <c r="I131" s="22">
        <f>_xlfn.XLOOKUP(tblAnalysis[[#This Row],[Product ID]], tblProducts[Product ID], tblProducts[Unit Cost])</f>
        <v>30</v>
      </c>
      <c r="J131" t="str">
        <f>_xlfn.XLOOKUP(tblAnalysis[[#This Row],[Rep ID]], tblReps[Rep ID], tblReps[Sales Rep])</f>
        <v>Sarah</v>
      </c>
      <c r="K131" t="str">
        <f>_xlfn.XLOOKUP(tblAnalysis[[#This Row],[Rep ID]], tblReps[Rep ID], tblReps[Region])</f>
        <v>Chicago</v>
      </c>
      <c r="L131" s="22">
        <f>tblAnalysis[[#This Row],[Quantity]]*tblAnalysis[[#This Row],[Unit Price]]</f>
        <v>400</v>
      </c>
      <c r="M131" s="22">
        <f>tblAnalysis[[#This Row],[Quantity]]*(tblAnalysis[[#This Row],[Unit Price]]-tblAnalysis[[#This Row],[Unit Cost]])</f>
        <v>160</v>
      </c>
    </row>
    <row r="132" spans="1:13">
      <c r="A132" t="s">
        <v>186</v>
      </c>
      <c r="B132" s="1">
        <v>45752</v>
      </c>
      <c r="C132" t="s">
        <v>33</v>
      </c>
      <c r="D132" t="s">
        <v>5</v>
      </c>
      <c r="E132">
        <v>3</v>
      </c>
      <c r="F132" t="str">
        <f>_xlfn.XLOOKUP(tblAnalysis[[#This Row],[Product ID]], tblProducts[Product ID], tblProducts[Product Name])</f>
        <v>Headset</v>
      </c>
      <c r="G132" t="str">
        <f>_xlfn.XLOOKUP(tblAnalysis[[#This Row],[Product ID]], tblProducts[Product ID], tblProducts[Category])</f>
        <v>Electronics</v>
      </c>
      <c r="H132" s="22">
        <f>_xlfn.XLOOKUP(tblAnalysis[[#This Row],[Product ID]], tblProducts[Product ID], tblProducts[Unit Price])</f>
        <v>75</v>
      </c>
      <c r="I132" s="22">
        <f>_xlfn.XLOOKUP(tblAnalysis[[#This Row],[Product ID]], tblProducts[Product ID], tblProducts[Unit Cost])</f>
        <v>45</v>
      </c>
      <c r="J132" t="str">
        <f>_xlfn.XLOOKUP(tblAnalysis[[#This Row],[Rep ID]], tblReps[Rep ID], tblReps[Sales Rep])</f>
        <v>John</v>
      </c>
      <c r="K132" t="str">
        <f>_xlfn.XLOOKUP(tblAnalysis[[#This Row],[Rep ID]], tblReps[Rep ID], tblReps[Region])</f>
        <v>New York</v>
      </c>
      <c r="L132" s="22">
        <f>tblAnalysis[[#This Row],[Quantity]]*tblAnalysis[[#This Row],[Unit Price]]</f>
        <v>225</v>
      </c>
      <c r="M132" s="22">
        <f>tblAnalysis[[#This Row],[Quantity]]*(tblAnalysis[[#This Row],[Unit Price]]-tblAnalysis[[#This Row],[Unit Cost]])</f>
        <v>90</v>
      </c>
    </row>
    <row r="133" spans="1:13">
      <c r="A133" t="s">
        <v>187</v>
      </c>
      <c r="B133" s="1">
        <v>45753</v>
      </c>
      <c r="C133" t="s">
        <v>41</v>
      </c>
      <c r="D133" t="s">
        <v>10</v>
      </c>
      <c r="E133">
        <v>8</v>
      </c>
      <c r="F133" t="str">
        <f>_xlfn.XLOOKUP(tblAnalysis[[#This Row],[Product ID]], tblProducts[Product ID], tblProducts[Product Name])</f>
        <v>Keyboard</v>
      </c>
      <c r="G133" t="str">
        <f>_xlfn.XLOOKUP(tblAnalysis[[#This Row],[Product ID]], tblProducts[Product ID], tblProducts[Category])</f>
        <v>Electronics</v>
      </c>
      <c r="H133" s="22">
        <f>_xlfn.XLOOKUP(tblAnalysis[[#This Row],[Product ID]], tblProducts[Product ID], tblProducts[Unit Price])</f>
        <v>40</v>
      </c>
      <c r="I133" s="22">
        <f>_xlfn.XLOOKUP(tblAnalysis[[#This Row],[Product ID]], tblProducts[Product ID], tblProducts[Unit Cost])</f>
        <v>22</v>
      </c>
      <c r="J133" t="str">
        <f>_xlfn.XLOOKUP(tblAnalysis[[#This Row],[Rep ID]], tblReps[Rep ID], tblReps[Sales Rep])</f>
        <v>Sarah</v>
      </c>
      <c r="K133" t="str">
        <f>_xlfn.XLOOKUP(tblAnalysis[[#This Row],[Rep ID]], tblReps[Rep ID], tblReps[Region])</f>
        <v>Chicago</v>
      </c>
      <c r="L133" s="22">
        <f>tblAnalysis[[#This Row],[Quantity]]*tblAnalysis[[#This Row],[Unit Price]]</f>
        <v>320</v>
      </c>
      <c r="M133" s="22">
        <f>tblAnalysis[[#This Row],[Quantity]]*(tblAnalysis[[#This Row],[Unit Price]]-tblAnalysis[[#This Row],[Unit Cost]])</f>
        <v>144</v>
      </c>
    </row>
    <row r="134" spans="1:13">
      <c r="A134" t="s">
        <v>188</v>
      </c>
      <c r="B134" s="1">
        <v>45753</v>
      </c>
      <c r="C134" t="s">
        <v>45</v>
      </c>
      <c r="D134" t="s">
        <v>5</v>
      </c>
      <c r="E134">
        <v>4</v>
      </c>
      <c r="F134" t="str">
        <f>_xlfn.XLOOKUP(tblAnalysis[[#This Row],[Product ID]], tblProducts[Product ID], tblProducts[Product Name])</f>
        <v>Headset</v>
      </c>
      <c r="G134" t="str">
        <f>_xlfn.XLOOKUP(tblAnalysis[[#This Row],[Product ID]], tblProducts[Product ID], tblProducts[Category])</f>
        <v>Electronics</v>
      </c>
      <c r="H134" s="22">
        <f>_xlfn.XLOOKUP(tblAnalysis[[#This Row],[Product ID]], tblProducts[Product ID], tblProducts[Unit Price])</f>
        <v>75</v>
      </c>
      <c r="I134" s="22">
        <f>_xlfn.XLOOKUP(tblAnalysis[[#This Row],[Product ID]], tblProducts[Product ID], tblProducts[Unit Cost])</f>
        <v>45</v>
      </c>
      <c r="J134" t="str">
        <f>_xlfn.XLOOKUP(tblAnalysis[[#This Row],[Rep ID]], tblReps[Rep ID], tblReps[Sales Rep])</f>
        <v>David</v>
      </c>
      <c r="K134" t="str">
        <f>_xlfn.XLOOKUP(tblAnalysis[[#This Row],[Rep ID]], tblReps[Rep ID], tblReps[Region])</f>
        <v>Houston</v>
      </c>
      <c r="L134" s="22">
        <f>tblAnalysis[[#This Row],[Quantity]]*tblAnalysis[[#This Row],[Unit Price]]</f>
        <v>300</v>
      </c>
      <c r="M134" s="22">
        <f>tblAnalysis[[#This Row],[Quantity]]*(tblAnalysis[[#This Row],[Unit Price]]-tblAnalysis[[#This Row],[Unit Cost]])</f>
        <v>120</v>
      </c>
    </row>
    <row r="135" spans="1:13">
      <c r="A135" t="s">
        <v>189</v>
      </c>
      <c r="B135" s="1">
        <v>45753</v>
      </c>
      <c r="C135" t="s">
        <v>41</v>
      </c>
      <c r="D135" t="s">
        <v>12</v>
      </c>
      <c r="E135">
        <v>4</v>
      </c>
      <c r="F135" t="str">
        <f>_xlfn.XLOOKUP(tblAnalysis[[#This Row],[Product ID]], tblProducts[Product ID], tblProducts[Product Name])</f>
        <v>Webcam</v>
      </c>
      <c r="G135" t="str">
        <f>_xlfn.XLOOKUP(tblAnalysis[[#This Row],[Product ID]], tblProducts[Product ID], tblProducts[Category])</f>
        <v>Electronics</v>
      </c>
      <c r="H135" s="22">
        <f>_xlfn.XLOOKUP(tblAnalysis[[#This Row],[Product ID]], tblProducts[Product ID], tblProducts[Unit Price])</f>
        <v>60</v>
      </c>
      <c r="I135" s="22">
        <f>_xlfn.XLOOKUP(tblAnalysis[[#This Row],[Product ID]], tblProducts[Product ID], tblProducts[Unit Cost])</f>
        <v>35</v>
      </c>
      <c r="J135" t="str">
        <f>_xlfn.XLOOKUP(tblAnalysis[[#This Row],[Rep ID]], tblReps[Rep ID], tblReps[Sales Rep])</f>
        <v>Sarah</v>
      </c>
      <c r="K135" t="str">
        <f>_xlfn.XLOOKUP(tblAnalysis[[#This Row],[Rep ID]], tblReps[Rep ID], tblReps[Region])</f>
        <v>Chicago</v>
      </c>
      <c r="L135" s="22">
        <f>tblAnalysis[[#This Row],[Quantity]]*tblAnalysis[[#This Row],[Unit Price]]</f>
        <v>240</v>
      </c>
      <c r="M135" s="22">
        <f>tblAnalysis[[#This Row],[Quantity]]*(tblAnalysis[[#This Row],[Unit Price]]-tblAnalysis[[#This Row],[Unit Cost]])</f>
        <v>100</v>
      </c>
    </row>
    <row r="136" spans="1:13">
      <c r="A136" t="s">
        <v>190</v>
      </c>
      <c r="B136" s="1">
        <v>45753</v>
      </c>
      <c r="C136" t="s">
        <v>49</v>
      </c>
      <c r="D136" t="s">
        <v>12</v>
      </c>
      <c r="E136">
        <v>8</v>
      </c>
      <c r="F136" t="str">
        <f>_xlfn.XLOOKUP(tblAnalysis[[#This Row],[Product ID]], tblProducts[Product ID], tblProducts[Product Name])</f>
        <v>Webcam</v>
      </c>
      <c r="G136" t="str">
        <f>_xlfn.XLOOKUP(tblAnalysis[[#This Row],[Product ID]], tblProducts[Product ID], tblProducts[Category])</f>
        <v>Electronics</v>
      </c>
      <c r="H136" s="22">
        <f>_xlfn.XLOOKUP(tblAnalysis[[#This Row],[Product ID]], tblProducts[Product ID], tblProducts[Unit Price])</f>
        <v>60</v>
      </c>
      <c r="I136" s="22">
        <f>_xlfn.XLOOKUP(tblAnalysis[[#This Row],[Product ID]], tblProducts[Product ID], tblProducts[Unit Cost])</f>
        <v>35</v>
      </c>
      <c r="J136" t="str">
        <f>_xlfn.XLOOKUP(tblAnalysis[[#This Row],[Rep ID]], tblReps[Rep ID], tblReps[Sales Rep])</f>
        <v>Emma</v>
      </c>
      <c r="K136" t="str">
        <f>_xlfn.XLOOKUP(tblAnalysis[[#This Row],[Rep ID]], tblReps[Rep ID], tblReps[Region])</f>
        <v>Miami</v>
      </c>
      <c r="L136" s="22">
        <f>tblAnalysis[[#This Row],[Quantity]]*tblAnalysis[[#This Row],[Unit Price]]</f>
        <v>480</v>
      </c>
      <c r="M136" s="22">
        <f>tblAnalysis[[#This Row],[Quantity]]*(tblAnalysis[[#This Row],[Unit Price]]-tblAnalysis[[#This Row],[Unit Cost]])</f>
        <v>200</v>
      </c>
    </row>
    <row r="137" spans="1:13">
      <c r="A137" t="s">
        <v>191</v>
      </c>
      <c r="B137" s="1">
        <v>45753</v>
      </c>
      <c r="C137" t="s">
        <v>49</v>
      </c>
      <c r="D137" t="s">
        <v>12</v>
      </c>
      <c r="E137">
        <v>2</v>
      </c>
      <c r="F137" t="str">
        <f>_xlfn.XLOOKUP(tblAnalysis[[#This Row],[Product ID]], tblProducts[Product ID], tblProducts[Product Name])</f>
        <v>Webcam</v>
      </c>
      <c r="G137" t="str">
        <f>_xlfn.XLOOKUP(tblAnalysis[[#This Row],[Product ID]], tblProducts[Product ID], tblProducts[Category])</f>
        <v>Electronics</v>
      </c>
      <c r="H137" s="22">
        <f>_xlfn.XLOOKUP(tblAnalysis[[#This Row],[Product ID]], tblProducts[Product ID], tblProducts[Unit Price])</f>
        <v>60</v>
      </c>
      <c r="I137" s="22">
        <f>_xlfn.XLOOKUP(tblAnalysis[[#This Row],[Product ID]], tblProducts[Product ID], tblProducts[Unit Cost])</f>
        <v>35</v>
      </c>
      <c r="J137" t="str">
        <f>_xlfn.XLOOKUP(tblAnalysis[[#This Row],[Rep ID]], tblReps[Rep ID], tblReps[Sales Rep])</f>
        <v>Emma</v>
      </c>
      <c r="K137" t="str">
        <f>_xlfn.XLOOKUP(tblAnalysis[[#This Row],[Rep ID]], tblReps[Rep ID], tblReps[Region])</f>
        <v>Miami</v>
      </c>
      <c r="L137" s="22">
        <f>tblAnalysis[[#This Row],[Quantity]]*tblAnalysis[[#This Row],[Unit Price]]</f>
        <v>120</v>
      </c>
      <c r="M137" s="22">
        <f>tblAnalysis[[#This Row],[Quantity]]*(tblAnalysis[[#This Row],[Unit Price]]-tblAnalysis[[#This Row],[Unit Cost]])</f>
        <v>50</v>
      </c>
    </row>
    <row r="138" spans="1:13">
      <c r="A138" t="s">
        <v>192</v>
      </c>
      <c r="B138" s="1">
        <v>45754</v>
      </c>
      <c r="C138" t="s">
        <v>45</v>
      </c>
      <c r="D138" t="s">
        <v>5</v>
      </c>
      <c r="E138">
        <v>6</v>
      </c>
      <c r="F138" t="str">
        <f>_xlfn.XLOOKUP(tblAnalysis[[#This Row],[Product ID]], tblProducts[Product ID], tblProducts[Product Name])</f>
        <v>Headset</v>
      </c>
      <c r="G138" t="str">
        <f>_xlfn.XLOOKUP(tblAnalysis[[#This Row],[Product ID]], tblProducts[Product ID], tblProducts[Category])</f>
        <v>Electronics</v>
      </c>
      <c r="H138" s="22">
        <f>_xlfn.XLOOKUP(tblAnalysis[[#This Row],[Product ID]], tblProducts[Product ID], tblProducts[Unit Price])</f>
        <v>75</v>
      </c>
      <c r="I138" s="22">
        <f>_xlfn.XLOOKUP(tblAnalysis[[#This Row],[Product ID]], tblProducts[Product ID], tblProducts[Unit Cost])</f>
        <v>45</v>
      </c>
      <c r="J138" t="str">
        <f>_xlfn.XLOOKUP(tblAnalysis[[#This Row],[Rep ID]], tblReps[Rep ID], tblReps[Sales Rep])</f>
        <v>David</v>
      </c>
      <c r="K138" t="str">
        <f>_xlfn.XLOOKUP(tblAnalysis[[#This Row],[Rep ID]], tblReps[Rep ID], tblReps[Region])</f>
        <v>Houston</v>
      </c>
      <c r="L138" s="22">
        <f>tblAnalysis[[#This Row],[Quantity]]*tblAnalysis[[#This Row],[Unit Price]]</f>
        <v>450</v>
      </c>
      <c r="M138" s="22">
        <f>tblAnalysis[[#This Row],[Quantity]]*(tblAnalysis[[#This Row],[Unit Price]]-tblAnalysis[[#This Row],[Unit Cost]])</f>
        <v>180</v>
      </c>
    </row>
    <row r="139" spans="1:13">
      <c r="A139" t="s">
        <v>193</v>
      </c>
      <c r="B139" s="1">
        <v>45754</v>
      </c>
      <c r="C139" t="s">
        <v>41</v>
      </c>
      <c r="D139" t="s">
        <v>5</v>
      </c>
      <c r="E139">
        <v>2</v>
      </c>
      <c r="F139" t="str">
        <f>_xlfn.XLOOKUP(tblAnalysis[[#This Row],[Product ID]], tblProducts[Product ID], tblProducts[Product Name])</f>
        <v>Headset</v>
      </c>
      <c r="G139" t="str">
        <f>_xlfn.XLOOKUP(tblAnalysis[[#This Row],[Product ID]], tblProducts[Product ID], tblProducts[Category])</f>
        <v>Electronics</v>
      </c>
      <c r="H139" s="22">
        <f>_xlfn.XLOOKUP(tblAnalysis[[#This Row],[Product ID]], tblProducts[Product ID], tblProducts[Unit Price])</f>
        <v>75</v>
      </c>
      <c r="I139" s="22">
        <f>_xlfn.XLOOKUP(tblAnalysis[[#This Row],[Product ID]], tblProducts[Product ID], tblProducts[Unit Cost])</f>
        <v>45</v>
      </c>
      <c r="J139" t="str">
        <f>_xlfn.XLOOKUP(tblAnalysis[[#This Row],[Rep ID]], tblReps[Rep ID], tblReps[Sales Rep])</f>
        <v>Sarah</v>
      </c>
      <c r="K139" t="str">
        <f>_xlfn.XLOOKUP(tblAnalysis[[#This Row],[Rep ID]], tblReps[Rep ID], tblReps[Region])</f>
        <v>Chicago</v>
      </c>
      <c r="L139" s="22">
        <f>tblAnalysis[[#This Row],[Quantity]]*tblAnalysis[[#This Row],[Unit Price]]</f>
        <v>150</v>
      </c>
      <c r="M139" s="22">
        <f>tblAnalysis[[#This Row],[Quantity]]*(tblAnalysis[[#This Row],[Unit Price]]-tblAnalysis[[#This Row],[Unit Cost]])</f>
        <v>60</v>
      </c>
    </row>
    <row r="140" spans="1:13">
      <c r="A140" t="s">
        <v>194</v>
      </c>
      <c r="B140" s="1">
        <v>45755</v>
      </c>
      <c r="C140" t="s">
        <v>41</v>
      </c>
      <c r="D140" t="s">
        <v>17</v>
      </c>
      <c r="E140">
        <v>2</v>
      </c>
      <c r="F140" t="str">
        <f>_xlfn.XLOOKUP(tblAnalysis[[#This Row],[Product ID]], tblProducts[Product ID], tblProducts[Product Name])</f>
        <v>Iron</v>
      </c>
      <c r="G140" t="str">
        <f>_xlfn.XLOOKUP(tblAnalysis[[#This Row],[Product ID]], tblProducts[Product ID], tblProducts[Category])</f>
        <v>Home &amp; Living</v>
      </c>
      <c r="H140" s="22">
        <f>_xlfn.XLOOKUP(tblAnalysis[[#This Row],[Product ID]], tblProducts[Product ID], tblProducts[Unit Price])</f>
        <v>35</v>
      </c>
      <c r="I140" s="22">
        <f>_xlfn.XLOOKUP(tblAnalysis[[#This Row],[Product ID]], tblProducts[Product ID], tblProducts[Unit Cost])</f>
        <v>20</v>
      </c>
      <c r="J140" t="str">
        <f>_xlfn.XLOOKUP(tblAnalysis[[#This Row],[Rep ID]], tblReps[Rep ID], tblReps[Sales Rep])</f>
        <v>Sarah</v>
      </c>
      <c r="K140" t="str">
        <f>_xlfn.XLOOKUP(tblAnalysis[[#This Row],[Rep ID]], tblReps[Rep ID], tblReps[Region])</f>
        <v>Chicago</v>
      </c>
      <c r="L140" s="22">
        <f>tblAnalysis[[#This Row],[Quantity]]*tblAnalysis[[#This Row],[Unit Price]]</f>
        <v>70</v>
      </c>
      <c r="M140" s="22">
        <f>tblAnalysis[[#This Row],[Quantity]]*(tblAnalysis[[#This Row],[Unit Price]]-tblAnalysis[[#This Row],[Unit Cost]])</f>
        <v>30</v>
      </c>
    </row>
    <row r="141" spans="1:13">
      <c r="A141" t="s">
        <v>195</v>
      </c>
      <c r="B141" s="1">
        <v>45756</v>
      </c>
      <c r="C141" t="s">
        <v>37</v>
      </c>
      <c r="D141" t="s">
        <v>8</v>
      </c>
      <c r="E141">
        <v>1</v>
      </c>
      <c r="F141" t="str">
        <f>_xlfn.XLOOKUP(tblAnalysis[[#This Row],[Product ID]], tblProducts[Product ID], tblProducts[Product Name])</f>
        <v>Mouse</v>
      </c>
      <c r="G141" t="str">
        <f>_xlfn.XLOOKUP(tblAnalysis[[#This Row],[Product ID]], tblProducts[Product ID], tblProducts[Category])</f>
        <v>Electronics</v>
      </c>
      <c r="H141" s="22">
        <f>_xlfn.XLOOKUP(tblAnalysis[[#This Row],[Product ID]], tblProducts[Product ID], tblProducts[Unit Price])</f>
        <v>25</v>
      </c>
      <c r="I141" s="22">
        <f>_xlfn.XLOOKUP(tblAnalysis[[#This Row],[Product ID]], tblProducts[Product ID], tblProducts[Unit Cost])</f>
        <v>12</v>
      </c>
      <c r="J141" t="str">
        <f>_xlfn.XLOOKUP(tblAnalysis[[#This Row],[Rep ID]], tblReps[Rep ID], tblReps[Sales Rep])</f>
        <v>Mike</v>
      </c>
      <c r="K141" t="str">
        <f>_xlfn.XLOOKUP(tblAnalysis[[#This Row],[Rep ID]], tblReps[Rep ID], tblReps[Region])</f>
        <v>Los Angeles</v>
      </c>
      <c r="L141" s="22">
        <f>tblAnalysis[[#This Row],[Quantity]]*tblAnalysis[[#This Row],[Unit Price]]</f>
        <v>25</v>
      </c>
      <c r="M141" s="22">
        <f>tblAnalysis[[#This Row],[Quantity]]*(tblAnalysis[[#This Row],[Unit Price]]-tblAnalysis[[#This Row],[Unit Cost]])</f>
        <v>13</v>
      </c>
    </row>
    <row r="142" spans="1:13">
      <c r="A142" t="s">
        <v>196</v>
      </c>
      <c r="B142" s="1">
        <v>45756</v>
      </c>
      <c r="C142" t="s">
        <v>41</v>
      </c>
      <c r="D142" t="s">
        <v>5</v>
      </c>
      <c r="E142">
        <v>10</v>
      </c>
      <c r="F142" t="str">
        <f>_xlfn.XLOOKUP(tblAnalysis[[#This Row],[Product ID]], tblProducts[Product ID], tblProducts[Product Name])</f>
        <v>Headset</v>
      </c>
      <c r="G142" t="str">
        <f>_xlfn.XLOOKUP(tblAnalysis[[#This Row],[Product ID]], tblProducts[Product ID], tblProducts[Category])</f>
        <v>Electronics</v>
      </c>
      <c r="H142" s="22">
        <f>_xlfn.XLOOKUP(tblAnalysis[[#This Row],[Product ID]], tblProducts[Product ID], tblProducts[Unit Price])</f>
        <v>75</v>
      </c>
      <c r="I142" s="22">
        <f>_xlfn.XLOOKUP(tblAnalysis[[#This Row],[Product ID]], tblProducts[Product ID], tblProducts[Unit Cost])</f>
        <v>45</v>
      </c>
      <c r="J142" t="str">
        <f>_xlfn.XLOOKUP(tblAnalysis[[#This Row],[Rep ID]], tblReps[Rep ID], tblReps[Sales Rep])</f>
        <v>Sarah</v>
      </c>
      <c r="K142" t="str">
        <f>_xlfn.XLOOKUP(tblAnalysis[[#This Row],[Rep ID]], tblReps[Rep ID], tblReps[Region])</f>
        <v>Chicago</v>
      </c>
      <c r="L142" s="22">
        <f>tblAnalysis[[#This Row],[Quantity]]*tblAnalysis[[#This Row],[Unit Price]]</f>
        <v>750</v>
      </c>
      <c r="M142" s="22">
        <f>tblAnalysis[[#This Row],[Quantity]]*(tblAnalysis[[#This Row],[Unit Price]]-tblAnalysis[[#This Row],[Unit Cost]])</f>
        <v>300</v>
      </c>
    </row>
    <row r="143" spans="1:13">
      <c r="A143" t="s">
        <v>197</v>
      </c>
      <c r="B143" s="1">
        <v>45756</v>
      </c>
      <c r="C143" t="s">
        <v>49</v>
      </c>
      <c r="D143" t="s">
        <v>5</v>
      </c>
      <c r="E143">
        <v>1</v>
      </c>
      <c r="F143" t="str">
        <f>_xlfn.XLOOKUP(tblAnalysis[[#This Row],[Product ID]], tblProducts[Product ID], tblProducts[Product Name])</f>
        <v>Headset</v>
      </c>
      <c r="G143" t="str">
        <f>_xlfn.XLOOKUP(tblAnalysis[[#This Row],[Product ID]], tblProducts[Product ID], tblProducts[Category])</f>
        <v>Electronics</v>
      </c>
      <c r="H143" s="22">
        <f>_xlfn.XLOOKUP(tblAnalysis[[#This Row],[Product ID]], tblProducts[Product ID], tblProducts[Unit Price])</f>
        <v>75</v>
      </c>
      <c r="I143" s="22">
        <f>_xlfn.XLOOKUP(tblAnalysis[[#This Row],[Product ID]], tblProducts[Product ID], tblProducts[Unit Cost])</f>
        <v>45</v>
      </c>
      <c r="J143" t="str">
        <f>_xlfn.XLOOKUP(tblAnalysis[[#This Row],[Rep ID]], tblReps[Rep ID], tblReps[Sales Rep])</f>
        <v>Emma</v>
      </c>
      <c r="K143" t="str">
        <f>_xlfn.XLOOKUP(tblAnalysis[[#This Row],[Rep ID]], tblReps[Rep ID], tblReps[Region])</f>
        <v>Miami</v>
      </c>
      <c r="L143" s="22">
        <f>tblAnalysis[[#This Row],[Quantity]]*tblAnalysis[[#This Row],[Unit Price]]</f>
        <v>75</v>
      </c>
      <c r="M143" s="22">
        <f>tblAnalysis[[#This Row],[Quantity]]*(tblAnalysis[[#This Row],[Unit Price]]-tblAnalysis[[#This Row],[Unit Cost]])</f>
        <v>30</v>
      </c>
    </row>
    <row r="144" spans="1:13">
      <c r="A144" t="s">
        <v>198</v>
      </c>
      <c r="B144" s="1">
        <v>45756</v>
      </c>
      <c r="C144" t="s">
        <v>41</v>
      </c>
      <c r="D144" t="s">
        <v>24</v>
      </c>
      <c r="E144">
        <v>2</v>
      </c>
      <c r="F144" t="str">
        <f>_xlfn.XLOOKUP(tblAnalysis[[#This Row],[Product ID]], tblProducts[Product ID], tblProducts[Product Name])</f>
        <v>Pants</v>
      </c>
      <c r="G144" t="str">
        <f>_xlfn.XLOOKUP(tblAnalysis[[#This Row],[Product ID]], tblProducts[Product ID], tblProducts[Category])</f>
        <v>Fashion</v>
      </c>
      <c r="H144" s="22">
        <f>_xlfn.XLOOKUP(tblAnalysis[[#This Row],[Product ID]], tblProducts[Product ID], tblProducts[Unit Price])</f>
        <v>40</v>
      </c>
      <c r="I144" s="22">
        <f>_xlfn.XLOOKUP(tblAnalysis[[#This Row],[Product ID]], tblProducts[Product ID], tblProducts[Unit Cost])</f>
        <v>18</v>
      </c>
      <c r="J144" t="str">
        <f>_xlfn.XLOOKUP(tblAnalysis[[#This Row],[Rep ID]], tblReps[Rep ID], tblReps[Sales Rep])</f>
        <v>Sarah</v>
      </c>
      <c r="K144" t="str">
        <f>_xlfn.XLOOKUP(tblAnalysis[[#This Row],[Rep ID]], tblReps[Rep ID], tblReps[Region])</f>
        <v>Chicago</v>
      </c>
      <c r="L144" s="22">
        <f>tblAnalysis[[#This Row],[Quantity]]*tblAnalysis[[#This Row],[Unit Price]]</f>
        <v>80</v>
      </c>
      <c r="M144" s="22">
        <f>tblAnalysis[[#This Row],[Quantity]]*(tblAnalysis[[#This Row],[Unit Price]]-tblAnalysis[[#This Row],[Unit Cost]])</f>
        <v>44</v>
      </c>
    </row>
    <row r="145" spans="1:13">
      <c r="A145" t="s">
        <v>199</v>
      </c>
      <c r="B145" s="1">
        <v>45756</v>
      </c>
      <c r="C145" t="s">
        <v>33</v>
      </c>
      <c r="D145" t="s">
        <v>10</v>
      </c>
      <c r="E145">
        <v>5</v>
      </c>
      <c r="F145" t="str">
        <f>_xlfn.XLOOKUP(tblAnalysis[[#This Row],[Product ID]], tblProducts[Product ID], tblProducts[Product Name])</f>
        <v>Keyboard</v>
      </c>
      <c r="G145" t="str">
        <f>_xlfn.XLOOKUP(tblAnalysis[[#This Row],[Product ID]], tblProducts[Product ID], tblProducts[Category])</f>
        <v>Electronics</v>
      </c>
      <c r="H145" s="22">
        <f>_xlfn.XLOOKUP(tblAnalysis[[#This Row],[Product ID]], tblProducts[Product ID], tblProducts[Unit Price])</f>
        <v>40</v>
      </c>
      <c r="I145" s="22">
        <f>_xlfn.XLOOKUP(tblAnalysis[[#This Row],[Product ID]], tblProducts[Product ID], tblProducts[Unit Cost])</f>
        <v>22</v>
      </c>
      <c r="J145" t="str">
        <f>_xlfn.XLOOKUP(tblAnalysis[[#This Row],[Rep ID]], tblReps[Rep ID], tblReps[Sales Rep])</f>
        <v>John</v>
      </c>
      <c r="K145" t="str">
        <f>_xlfn.XLOOKUP(tblAnalysis[[#This Row],[Rep ID]], tblReps[Rep ID], tblReps[Region])</f>
        <v>New York</v>
      </c>
      <c r="L145" s="22">
        <f>tblAnalysis[[#This Row],[Quantity]]*tblAnalysis[[#This Row],[Unit Price]]</f>
        <v>200</v>
      </c>
      <c r="M145" s="22">
        <f>tblAnalysis[[#This Row],[Quantity]]*(tblAnalysis[[#This Row],[Unit Price]]-tblAnalysis[[#This Row],[Unit Cost]])</f>
        <v>90</v>
      </c>
    </row>
    <row r="146" spans="1:13">
      <c r="A146" t="s">
        <v>200</v>
      </c>
      <c r="B146" s="1">
        <v>45756</v>
      </c>
      <c r="C146" t="s">
        <v>33</v>
      </c>
      <c r="D146" t="s">
        <v>19</v>
      </c>
      <c r="E146">
        <v>1</v>
      </c>
      <c r="F146" t="str">
        <f>_xlfn.XLOOKUP(tblAnalysis[[#This Row],[Product ID]], tblProducts[Product ID], tblProducts[Product Name])</f>
        <v>Fan</v>
      </c>
      <c r="G146" t="str">
        <f>_xlfn.XLOOKUP(tblAnalysis[[#This Row],[Product ID]], tblProducts[Product ID], tblProducts[Category])</f>
        <v>Home &amp; Living</v>
      </c>
      <c r="H146" s="22">
        <f>_xlfn.XLOOKUP(tblAnalysis[[#This Row],[Product ID]], tblProducts[Product ID], tblProducts[Unit Price])</f>
        <v>45</v>
      </c>
      <c r="I146" s="22">
        <f>_xlfn.XLOOKUP(tblAnalysis[[#This Row],[Product ID]], tblProducts[Product ID], tblProducts[Unit Cost])</f>
        <v>25</v>
      </c>
      <c r="J146" t="str">
        <f>_xlfn.XLOOKUP(tblAnalysis[[#This Row],[Rep ID]], tblReps[Rep ID], tblReps[Sales Rep])</f>
        <v>John</v>
      </c>
      <c r="K146" t="str">
        <f>_xlfn.XLOOKUP(tblAnalysis[[#This Row],[Rep ID]], tblReps[Rep ID], tblReps[Region])</f>
        <v>New York</v>
      </c>
      <c r="L146" s="22">
        <f>tblAnalysis[[#This Row],[Quantity]]*tblAnalysis[[#This Row],[Unit Price]]</f>
        <v>45</v>
      </c>
      <c r="M146" s="22">
        <f>tblAnalysis[[#This Row],[Quantity]]*(tblAnalysis[[#This Row],[Unit Price]]-tblAnalysis[[#This Row],[Unit Cost]])</f>
        <v>20</v>
      </c>
    </row>
    <row r="147" spans="1:13">
      <c r="A147" t="s">
        <v>201</v>
      </c>
      <c r="B147" s="1">
        <v>45756</v>
      </c>
      <c r="C147" t="s">
        <v>45</v>
      </c>
      <c r="D147" t="s">
        <v>26</v>
      </c>
      <c r="E147">
        <v>3</v>
      </c>
      <c r="F147" t="str">
        <f>_xlfn.XLOOKUP(tblAnalysis[[#This Row],[Product ID]], tblProducts[Product ID], tblProducts[Product Name])</f>
        <v>Shoes</v>
      </c>
      <c r="G147" t="str">
        <f>_xlfn.XLOOKUP(tblAnalysis[[#This Row],[Product ID]], tblProducts[Product ID], tblProducts[Category])</f>
        <v>Fashion</v>
      </c>
      <c r="H147" s="22">
        <f>_xlfn.XLOOKUP(tblAnalysis[[#This Row],[Product ID]], tblProducts[Product ID], tblProducts[Unit Price])</f>
        <v>75</v>
      </c>
      <c r="I147" s="22">
        <f>_xlfn.XLOOKUP(tblAnalysis[[#This Row],[Product ID]], tblProducts[Product ID], tblProducts[Unit Cost])</f>
        <v>40</v>
      </c>
      <c r="J147" t="str">
        <f>_xlfn.XLOOKUP(tblAnalysis[[#This Row],[Rep ID]], tblReps[Rep ID], tblReps[Sales Rep])</f>
        <v>David</v>
      </c>
      <c r="K147" t="str">
        <f>_xlfn.XLOOKUP(tblAnalysis[[#This Row],[Rep ID]], tblReps[Rep ID], tblReps[Region])</f>
        <v>Houston</v>
      </c>
      <c r="L147" s="22">
        <f>tblAnalysis[[#This Row],[Quantity]]*tblAnalysis[[#This Row],[Unit Price]]</f>
        <v>225</v>
      </c>
      <c r="M147" s="22">
        <f>tblAnalysis[[#This Row],[Quantity]]*(tblAnalysis[[#This Row],[Unit Price]]-tblAnalysis[[#This Row],[Unit Cost]])</f>
        <v>105</v>
      </c>
    </row>
    <row r="148" spans="1:13">
      <c r="A148" t="s">
        <v>202</v>
      </c>
      <c r="B148" s="1">
        <v>45756</v>
      </c>
      <c r="C148" t="s">
        <v>37</v>
      </c>
      <c r="D148" t="s">
        <v>26</v>
      </c>
      <c r="E148">
        <v>7</v>
      </c>
      <c r="F148" t="str">
        <f>_xlfn.XLOOKUP(tblAnalysis[[#This Row],[Product ID]], tblProducts[Product ID], tblProducts[Product Name])</f>
        <v>Shoes</v>
      </c>
      <c r="G148" t="str">
        <f>_xlfn.XLOOKUP(tblAnalysis[[#This Row],[Product ID]], tblProducts[Product ID], tblProducts[Category])</f>
        <v>Fashion</v>
      </c>
      <c r="H148" s="22">
        <f>_xlfn.XLOOKUP(tblAnalysis[[#This Row],[Product ID]], tblProducts[Product ID], tblProducts[Unit Price])</f>
        <v>75</v>
      </c>
      <c r="I148" s="22">
        <f>_xlfn.XLOOKUP(tblAnalysis[[#This Row],[Product ID]], tblProducts[Product ID], tblProducts[Unit Cost])</f>
        <v>40</v>
      </c>
      <c r="J148" t="str">
        <f>_xlfn.XLOOKUP(tblAnalysis[[#This Row],[Rep ID]], tblReps[Rep ID], tblReps[Sales Rep])</f>
        <v>Mike</v>
      </c>
      <c r="K148" t="str">
        <f>_xlfn.XLOOKUP(tblAnalysis[[#This Row],[Rep ID]], tblReps[Rep ID], tblReps[Region])</f>
        <v>Los Angeles</v>
      </c>
      <c r="L148" s="22">
        <f>tblAnalysis[[#This Row],[Quantity]]*tblAnalysis[[#This Row],[Unit Price]]</f>
        <v>525</v>
      </c>
      <c r="M148" s="22">
        <f>tblAnalysis[[#This Row],[Quantity]]*(tblAnalysis[[#This Row],[Unit Price]]-tblAnalysis[[#This Row],[Unit Cost]])</f>
        <v>245</v>
      </c>
    </row>
    <row r="149" spans="1:13">
      <c r="A149" t="s">
        <v>203</v>
      </c>
      <c r="B149" s="1">
        <v>45757</v>
      </c>
      <c r="C149" t="s">
        <v>41</v>
      </c>
      <c r="D149" t="s">
        <v>12</v>
      </c>
      <c r="E149">
        <v>7</v>
      </c>
      <c r="F149" t="str">
        <f>_xlfn.XLOOKUP(tblAnalysis[[#This Row],[Product ID]], tblProducts[Product ID], tblProducts[Product Name])</f>
        <v>Webcam</v>
      </c>
      <c r="G149" t="str">
        <f>_xlfn.XLOOKUP(tblAnalysis[[#This Row],[Product ID]], tblProducts[Product ID], tblProducts[Category])</f>
        <v>Electronics</v>
      </c>
      <c r="H149" s="22">
        <f>_xlfn.XLOOKUP(tblAnalysis[[#This Row],[Product ID]], tblProducts[Product ID], tblProducts[Unit Price])</f>
        <v>60</v>
      </c>
      <c r="I149" s="22">
        <f>_xlfn.XLOOKUP(tblAnalysis[[#This Row],[Product ID]], tblProducts[Product ID], tblProducts[Unit Cost])</f>
        <v>35</v>
      </c>
      <c r="J149" t="str">
        <f>_xlfn.XLOOKUP(tblAnalysis[[#This Row],[Rep ID]], tblReps[Rep ID], tblReps[Sales Rep])</f>
        <v>Sarah</v>
      </c>
      <c r="K149" t="str">
        <f>_xlfn.XLOOKUP(tblAnalysis[[#This Row],[Rep ID]], tblReps[Rep ID], tblReps[Region])</f>
        <v>Chicago</v>
      </c>
      <c r="L149" s="22">
        <f>tblAnalysis[[#This Row],[Quantity]]*tblAnalysis[[#This Row],[Unit Price]]</f>
        <v>420</v>
      </c>
      <c r="M149" s="22">
        <f>tblAnalysis[[#This Row],[Quantity]]*(tblAnalysis[[#This Row],[Unit Price]]-tblAnalysis[[#This Row],[Unit Cost]])</f>
        <v>175</v>
      </c>
    </row>
    <row r="150" spans="1:13">
      <c r="A150" t="s">
        <v>204</v>
      </c>
      <c r="B150" s="1">
        <v>45757</v>
      </c>
      <c r="C150" t="s">
        <v>45</v>
      </c>
      <c r="D150" t="s">
        <v>21</v>
      </c>
      <c r="E150">
        <v>9</v>
      </c>
      <c r="F150" t="str">
        <f>_xlfn.XLOOKUP(tblAnalysis[[#This Row],[Product ID]], tblProducts[Product ID], tblProducts[Product Name])</f>
        <v>T-Shirt</v>
      </c>
      <c r="G150" t="str">
        <f>_xlfn.XLOOKUP(tblAnalysis[[#This Row],[Product ID]], tblProducts[Product ID], tblProducts[Category])</f>
        <v>Fashion</v>
      </c>
      <c r="H150" s="22">
        <f>_xlfn.XLOOKUP(tblAnalysis[[#This Row],[Product ID]], tblProducts[Product ID], tblProducts[Unit Price])</f>
        <v>20</v>
      </c>
      <c r="I150" s="22">
        <f>_xlfn.XLOOKUP(tblAnalysis[[#This Row],[Product ID]], tblProducts[Product ID], tblProducts[Unit Cost])</f>
        <v>8</v>
      </c>
      <c r="J150" t="str">
        <f>_xlfn.XLOOKUP(tblAnalysis[[#This Row],[Rep ID]], tblReps[Rep ID], tblReps[Sales Rep])</f>
        <v>David</v>
      </c>
      <c r="K150" t="str">
        <f>_xlfn.XLOOKUP(tblAnalysis[[#This Row],[Rep ID]], tblReps[Rep ID], tblReps[Region])</f>
        <v>Houston</v>
      </c>
      <c r="L150" s="22">
        <f>tblAnalysis[[#This Row],[Quantity]]*tblAnalysis[[#This Row],[Unit Price]]</f>
        <v>180</v>
      </c>
      <c r="M150" s="22">
        <f>tblAnalysis[[#This Row],[Quantity]]*(tblAnalysis[[#This Row],[Unit Price]]-tblAnalysis[[#This Row],[Unit Cost]])</f>
        <v>108</v>
      </c>
    </row>
    <row r="151" spans="1:13">
      <c r="A151" t="s">
        <v>205</v>
      </c>
      <c r="B151" s="1">
        <v>45757</v>
      </c>
      <c r="C151" t="s">
        <v>37</v>
      </c>
      <c r="D151" t="s">
        <v>10</v>
      </c>
      <c r="E151">
        <v>7</v>
      </c>
      <c r="F151" t="str">
        <f>_xlfn.XLOOKUP(tblAnalysis[[#This Row],[Product ID]], tblProducts[Product ID], tblProducts[Product Name])</f>
        <v>Keyboard</v>
      </c>
      <c r="G151" t="str">
        <f>_xlfn.XLOOKUP(tblAnalysis[[#This Row],[Product ID]], tblProducts[Product ID], tblProducts[Category])</f>
        <v>Electronics</v>
      </c>
      <c r="H151" s="22">
        <f>_xlfn.XLOOKUP(tblAnalysis[[#This Row],[Product ID]], tblProducts[Product ID], tblProducts[Unit Price])</f>
        <v>40</v>
      </c>
      <c r="I151" s="22">
        <f>_xlfn.XLOOKUP(tblAnalysis[[#This Row],[Product ID]], tblProducts[Product ID], tblProducts[Unit Cost])</f>
        <v>22</v>
      </c>
      <c r="J151" t="str">
        <f>_xlfn.XLOOKUP(tblAnalysis[[#This Row],[Rep ID]], tblReps[Rep ID], tblReps[Sales Rep])</f>
        <v>Mike</v>
      </c>
      <c r="K151" t="str">
        <f>_xlfn.XLOOKUP(tblAnalysis[[#This Row],[Rep ID]], tblReps[Rep ID], tblReps[Region])</f>
        <v>Los Angeles</v>
      </c>
      <c r="L151" s="22">
        <f>tblAnalysis[[#This Row],[Quantity]]*tblAnalysis[[#This Row],[Unit Price]]</f>
        <v>280</v>
      </c>
      <c r="M151" s="22">
        <f>tblAnalysis[[#This Row],[Quantity]]*(tblAnalysis[[#This Row],[Unit Price]]-tblAnalysis[[#This Row],[Unit Cost]])</f>
        <v>126</v>
      </c>
    </row>
    <row r="152" spans="1:13">
      <c r="A152" t="s">
        <v>206</v>
      </c>
      <c r="B152" s="1">
        <v>45757</v>
      </c>
      <c r="C152" t="s">
        <v>49</v>
      </c>
      <c r="D152" t="s">
        <v>26</v>
      </c>
      <c r="E152">
        <v>1</v>
      </c>
      <c r="F152" t="str">
        <f>_xlfn.XLOOKUP(tblAnalysis[[#This Row],[Product ID]], tblProducts[Product ID], tblProducts[Product Name])</f>
        <v>Shoes</v>
      </c>
      <c r="G152" t="str">
        <f>_xlfn.XLOOKUP(tblAnalysis[[#This Row],[Product ID]], tblProducts[Product ID], tblProducts[Category])</f>
        <v>Fashion</v>
      </c>
      <c r="H152" s="22">
        <f>_xlfn.XLOOKUP(tblAnalysis[[#This Row],[Product ID]], tblProducts[Product ID], tblProducts[Unit Price])</f>
        <v>75</v>
      </c>
      <c r="I152" s="22">
        <f>_xlfn.XLOOKUP(tblAnalysis[[#This Row],[Product ID]], tblProducts[Product ID], tblProducts[Unit Cost])</f>
        <v>40</v>
      </c>
      <c r="J152" t="str">
        <f>_xlfn.XLOOKUP(tblAnalysis[[#This Row],[Rep ID]], tblReps[Rep ID], tblReps[Sales Rep])</f>
        <v>Emma</v>
      </c>
      <c r="K152" t="str">
        <f>_xlfn.XLOOKUP(tblAnalysis[[#This Row],[Rep ID]], tblReps[Rep ID], tblReps[Region])</f>
        <v>Miami</v>
      </c>
      <c r="L152" s="22">
        <f>tblAnalysis[[#This Row],[Quantity]]*tblAnalysis[[#This Row],[Unit Price]]</f>
        <v>75</v>
      </c>
      <c r="M152" s="22">
        <f>tblAnalysis[[#This Row],[Quantity]]*(tblAnalysis[[#This Row],[Unit Price]]-tblAnalysis[[#This Row],[Unit Cost]])</f>
        <v>35</v>
      </c>
    </row>
    <row r="153" spans="1:13">
      <c r="A153" t="s">
        <v>207</v>
      </c>
      <c r="B153" s="1">
        <v>45758</v>
      </c>
      <c r="C153" t="s">
        <v>41</v>
      </c>
      <c r="D153" t="s">
        <v>26</v>
      </c>
      <c r="E153">
        <v>4</v>
      </c>
      <c r="F153" t="str">
        <f>_xlfn.XLOOKUP(tblAnalysis[[#This Row],[Product ID]], tblProducts[Product ID], tblProducts[Product Name])</f>
        <v>Shoes</v>
      </c>
      <c r="G153" t="str">
        <f>_xlfn.XLOOKUP(tblAnalysis[[#This Row],[Product ID]], tblProducts[Product ID], tblProducts[Category])</f>
        <v>Fashion</v>
      </c>
      <c r="H153" s="22">
        <f>_xlfn.XLOOKUP(tblAnalysis[[#This Row],[Product ID]], tblProducts[Product ID], tblProducts[Unit Price])</f>
        <v>75</v>
      </c>
      <c r="I153" s="22">
        <f>_xlfn.XLOOKUP(tblAnalysis[[#This Row],[Product ID]], tblProducts[Product ID], tblProducts[Unit Cost])</f>
        <v>40</v>
      </c>
      <c r="J153" t="str">
        <f>_xlfn.XLOOKUP(tblAnalysis[[#This Row],[Rep ID]], tblReps[Rep ID], tblReps[Sales Rep])</f>
        <v>Sarah</v>
      </c>
      <c r="K153" t="str">
        <f>_xlfn.XLOOKUP(tblAnalysis[[#This Row],[Rep ID]], tblReps[Rep ID], tblReps[Region])</f>
        <v>Chicago</v>
      </c>
      <c r="L153" s="22">
        <f>tblAnalysis[[#This Row],[Quantity]]*tblAnalysis[[#This Row],[Unit Price]]</f>
        <v>300</v>
      </c>
      <c r="M153" s="22">
        <f>tblAnalysis[[#This Row],[Quantity]]*(tblAnalysis[[#This Row],[Unit Price]]-tblAnalysis[[#This Row],[Unit Cost]])</f>
        <v>140</v>
      </c>
    </row>
    <row r="154" spans="1:13">
      <c r="A154" t="s">
        <v>208</v>
      </c>
      <c r="B154" s="1">
        <v>45758</v>
      </c>
      <c r="C154" t="s">
        <v>45</v>
      </c>
      <c r="D154" t="s">
        <v>10</v>
      </c>
      <c r="E154">
        <v>8</v>
      </c>
      <c r="F154" t="str">
        <f>_xlfn.XLOOKUP(tblAnalysis[[#This Row],[Product ID]], tblProducts[Product ID], tblProducts[Product Name])</f>
        <v>Keyboard</v>
      </c>
      <c r="G154" t="str">
        <f>_xlfn.XLOOKUP(tblAnalysis[[#This Row],[Product ID]], tblProducts[Product ID], tblProducts[Category])</f>
        <v>Electronics</v>
      </c>
      <c r="H154" s="22">
        <f>_xlfn.XLOOKUP(tblAnalysis[[#This Row],[Product ID]], tblProducts[Product ID], tblProducts[Unit Price])</f>
        <v>40</v>
      </c>
      <c r="I154" s="22">
        <f>_xlfn.XLOOKUP(tblAnalysis[[#This Row],[Product ID]], tblProducts[Product ID], tblProducts[Unit Cost])</f>
        <v>22</v>
      </c>
      <c r="J154" t="str">
        <f>_xlfn.XLOOKUP(tblAnalysis[[#This Row],[Rep ID]], tblReps[Rep ID], tblReps[Sales Rep])</f>
        <v>David</v>
      </c>
      <c r="K154" t="str">
        <f>_xlfn.XLOOKUP(tblAnalysis[[#This Row],[Rep ID]], tblReps[Rep ID], tblReps[Region])</f>
        <v>Houston</v>
      </c>
      <c r="L154" s="22">
        <f>tblAnalysis[[#This Row],[Quantity]]*tblAnalysis[[#This Row],[Unit Price]]</f>
        <v>320</v>
      </c>
      <c r="M154" s="22">
        <f>tblAnalysis[[#This Row],[Quantity]]*(tblAnalysis[[#This Row],[Unit Price]]-tblAnalysis[[#This Row],[Unit Cost]])</f>
        <v>144</v>
      </c>
    </row>
    <row r="155" spans="1:13">
      <c r="A155" t="s">
        <v>209</v>
      </c>
      <c r="B155" s="1">
        <v>45758</v>
      </c>
      <c r="C155" t="s">
        <v>45</v>
      </c>
      <c r="D155" t="s">
        <v>24</v>
      </c>
      <c r="E155">
        <v>5</v>
      </c>
      <c r="F155" t="str">
        <f>_xlfn.XLOOKUP(tblAnalysis[[#This Row],[Product ID]], tblProducts[Product ID], tblProducts[Product Name])</f>
        <v>Pants</v>
      </c>
      <c r="G155" t="str">
        <f>_xlfn.XLOOKUP(tblAnalysis[[#This Row],[Product ID]], tblProducts[Product ID], tblProducts[Category])</f>
        <v>Fashion</v>
      </c>
      <c r="H155" s="22">
        <f>_xlfn.XLOOKUP(tblAnalysis[[#This Row],[Product ID]], tblProducts[Product ID], tblProducts[Unit Price])</f>
        <v>40</v>
      </c>
      <c r="I155" s="22">
        <f>_xlfn.XLOOKUP(tblAnalysis[[#This Row],[Product ID]], tblProducts[Product ID], tblProducts[Unit Cost])</f>
        <v>18</v>
      </c>
      <c r="J155" t="str">
        <f>_xlfn.XLOOKUP(tblAnalysis[[#This Row],[Rep ID]], tblReps[Rep ID], tblReps[Sales Rep])</f>
        <v>David</v>
      </c>
      <c r="K155" t="str">
        <f>_xlfn.XLOOKUP(tblAnalysis[[#This Row],[Rep ID]], tblReps[Rep ID], tblReps[Region])</f>
        <v>Houston</v>
      </c>
      <c r="L155" s="22">
        <f>tblAnalysis[[#This Row],[Quantity]]*tblAnalysis[[#This Row],[Unit Price]]</f>
        <v>200</v>
      </c>
      <c r="M155" s="22">
        <f>tblAnalysis[[#This Row],[Quantity]]*(tblAnalysis[[#This Row],[Unit Price]]-tblAnalysis[[#This Row],[Unit Cost]])</f>
        <v>110</v>
      </c>
    </row>
    <row r="156" spans="1:13">
      <c r="A156" t="s">
        <v>210</v>
      </c>
      <c r="B156" s="1">
        <v>45758</v>
      </c>
      <c r="C156" t="s">
        <v>45</v>
      </c>
      <c r="D156" t="s">
        <v>12</v>
      </c>
      <c r="E156">
        <v>5</v>
      </c>
      <c r="F156" t="str">
        <f>_xlfn.XLOOKUP(tblAnalysis[[#This Row],[Product ID]], tblProducts[Product ID], tblProducts[Product Name])</f>
        <v>Webcam</v>
      </c>
      <c r="G156" t="str">
        <f>_xlfn.XLOOKUP(tblAnalysis[[#This Row],[Product ID]], tblProducts[Product ID], tblProducts[Category])</f>
        <v>Electronics</v>
      </c>
      <c r="H156" s="22">
        <f>_xlfn.XLOOKUP(tblAnalysis[[#This Row],[Product ID]], tblProducts[Product ID], tblProducts[Unit Price])</f>
        <v>60</v>
      </c>
      <c r="I156" s="22">
        <f>_xlfn.XLOOKUP(tblAnalysis[[#This Row],[Product ID]], tblProducts[Product ID], tblProducts[Unit Cost])</f>
        <v>35</v>
      </c>
      <c r="J156" t="str">
        <f>_xlfn.XLOOKUP(tblAnalysis[[#This Row],[Rep ID]], tblReps[Rep ID], tblReps[Sales Rep])</f>
        <v>David</v>
      </c>
      <c r="K156" t="str">
        <f>_xlfn.XLOOKUP(tblAnalysis[[#This Row],[Rep ID]], tblReps[Rep ID], tblReps[Region])</f>
        <v>Houston</v>
      </c>
      <c r="L156" s="22">
        <f>tblAnalysis[[#This Row],[Quantity]]*tblAnalysis[[#This Row],[Unit Price]]</f>
        <v>300</v>
      </c>
      <c r="M156" s="22">
        <f>tblAnalysis[[#This Row],[Quantity]]*(tblAnalysis[[#This Row],[Unit Price]]-tblAnalysis[[#This Row],[Unit Cost]])</f>
        <v>125</v>
      </c>
    </row>
    <row r="157" spans="1:13">
      <c r="A157" t="s">
        <v>211</v>
      </c>
      <c r="B157" s="1">
        <v>45760</v>
      </c>
      <c r="C157" t="s">
        <v>49</v>
      </c>
      <c r="D157" t="s">
        <v>5</v>
      </c>
      <c r="E157">
        <v>7</v>
      </c>
      <c r="F157" t="str">
        <f>_xlfn.XLOOKUP(tblAnalysis[[#This Row],[Product ID]], tblProducts[Product ID], tblProducts[Product Name])</f>
        <v>Headset</v>
      </c>
      <c r="G157" t="str">
        <f>_xlfn.XLOOKUP(tblAnalysis[[#This Row],[Product ID]], tblProducts[Product ID], tblProducts[Category])</f>
        <v>Electronics</v>
      </c>
      <c r="H157" s="22">
        <f>_xlfn.XLOOKUP(tblAnalysis[[#This Row],[Product ID]], tblProducts[Product ID], tblProducts[Unit Price])</f>
        <v>75</v>
      </c>
      <c r="I157" s="22">
        <f>_xlfn.XLOOKUP(tblAnalysis[[#This Row],[Product ID]], tblProducts[Product ID], tblProducts[Unit Cost])</f>
        <v>45</v>
      </c>
      <c r="J157" t="str">
        <f>_xlfn.XLOOKUP(tblAnalysis[[#This Row],[Rep ID]], tblReps[Rep ID], tblReps[Sales Rep])</f>
        <v>Emma</v>
      </c>
      <c r="K157" t="str">
        <f>_xlfn.XLOOKUP(tblAnalysis[[#This Row],[Rep ID]], tblReps[Rep ID], tblReps[Region])</f>
        <v>Miami</v>
      </c>
      <c r="L157" s="22">
        <f>tblAnalysis[[#This Row],[Quantity]]*tblAnalysis[[#This Row],[Unit Price]]</f>
        <v>525</v>
      </c>
      <c r="M157" s="22">
        <f>tblAnalysis[[#This Row],[Quantity]]*(tblAnalysis[[#This Row],[Unit Price]]-tblAnalysis[[#This Row],[Unit Cost]])</f>
        <v>210</v>
      </c>
    </row>
    <row r="158" spans="1:13">
      <c r="A158" t="s">
        <v>212</v>
      </c>
      <c r="B158" s="1">
        <v>45760</v>
      </c>
      <c r="C158" t="s">
        <v>33</v>
      </c>
      <c r="D158" t="s">
        <v>12</v>
      </c>
      <c r="E158">
        <v>4</v>
      </c>
      <c r="F158" t="str">
        <f>_xlfn.XLOOKUP(tblAnalysis[[#This Row],[Product ID]], tblProducts[Product ID], tblProducts[Product Name])</f>
        <v>Webcam</v>
      </c>
      <c r="G158" t="str">
        <f>_xlfn.XLOOKUP(tblAnalysis[[#This Row],[Product ID]], tblProducts[Product ID], tblProducts[Category])</f>
        <v>Electronics</v>
      </c>
      <c r="H158" s="22">
        <f>_xlfn.XLOOKUP(tblAnalysis[[#This Row],[Product ID]], tblProducts[Product ID], tblProducts[Unit Price])</f>
        <v>60</v>
      </c>
      <c r="I158" s="22">
        <f>_xlfn.XLOOKUP(tblAnalysis[[#This Row],[Product ID]], tblProducts[Product ID], tblProducts[Unit Cost])</f>
        <v>35</v>
      </c>
      <c r="J158" t="str">
        <f>_xlfn.XLOOKUP(tblAnalysis[[#This Row],[Rep ID]], tblReps[Rep ID], tblReps[Sales Rep])</f>
        <v>John</v>
      </c>
      <c r="K158" t="str">
        <f>_xlfn.XLOOKUP(tblAnalysis[[#This Row],[Rep ID]], tblReps[Rep ID], tblReps[Region])</f>
        <v>New York</v>
      </c>
      <c r="L158" s="22">
        <f>tblAnalysis[[#This Row],[Quantity]]*tblAnalysis[[#This Row],[Unit Price]]</f>
        <v>240</v>
      </c>
      <c r="M158" s="22">
        <f>tblAnalysis[[#This Row],[Quantity]]*(tblAnalysis[[#This Row],[Unit Price]]-tblAnalysis[[#This Row],[Unit Cost]])</f>
        <v>100</v>
      </c>
    </row>
    <row r="159" spans="1:13">
      <c r="A159" t="s">
        <v>213</v>
      </c>
      <c r="B159" s="1">
        <v>45760</v>
      </c>
      <c r="C159" t="s">
        <v>45</v>
      </c>
      <c r="D159" t="s">
        <v>24</v>
      </c>
      <c r="E159">
        <v>10</v>
      </c>
      <c r="F159" t="str">
        <f>_xlfn.XLOOKUP(tblAnalysis[[#This Row],[Product ID]], tblProducts[Product ID], tblProducts[Product Name])</f>
        <v>Pants</v>
      </c>
      <c r="G159" t="str">
        <f>_xlfn.XLOOKUP(tblAnalysis[[#This Row],[Product ID]], tblProducts[Product ID], tblProducts[Category])</f>
        <v>Fashion</v>
      </c>
      <c r="H159" s="22">
        <f>_xlfn.XLOOKUP(tblAnalysis[[#This Row],[Product ID]], tblProducts[Product ID], tblProducts[Unit Price])</f>
        <v>40</v>
      </c>
      <c r="I159" s="22">
        <f>_xlfn.XLOOKUP(tblAnalysis[[#This Row],[Product ID]], tblProducts[Product ID], tblProducts[Unit Cost])</f>
        <v>18</v>
      </c>
      <c r="J159" t="str">
        <f>_xlfn.XLOOKUP(tblAnalysis[[#This Row],[Rep ID]], tblReps[Rep ID], tblReps[Sales Rep])</f>
        <v>David</v>
      </c>
      <c r="K159" t="str">
        <f>_xlfn.XLOOKUP(tblAnalysis[[#This Row],[Rep ID]], tblReps[Rep ID], tblReps[Region])</f>
        <v>Houston</v>
      </c>
      <c r="L159" s="22">
        <f>tblAnalysis[[#This Row],[Quantity]]*tblAnalysis[[#This Row],[Unit Price]]</f>
        <v>400</v>
      </c>
      <c r="M159" s="22">
        <f>tblAnalysis[[#This Row],[Quantity]]*(tblAnalysis[[#This Row],[Unit Price]]-tblAnalysis[[#This Row],[Unit Cost]])</f>
        <v>220</v>
      </c>
    </row>
    <row r="160" spans="1:13">
      <c r="A160" t="s">
        <v>214</v>
      </c>
      <c r="B160" s="1">
        <v>45761</v>
      </c>
      <c r="C160" t="s">
        <v>33</v>
      </c>
      <c r="D160" t="s">
        <v>26</v>
      </c>
      <c r="E160">
        <v>3</v>
      </c>
      <c r="F160" t="str">
        <f>_xlfn.XLOOKUP(tblAnalysis[[#This Row],[Product ID]], tblProducts[Product ID], tblProducts[Product Name])</f>
        <v>Shoes</v>
      </c>
      <c r="G160" t="str">
        <f>_xlfn.XLOOKUP(tblAnalysis[[#This Row],[Product ID]], tblProducts[Product ID], tblProducts[Category])</f>
        <v>Fashion</v>
      </c>
      <c r="H160" s="22">
        <f>_xlfn.XLOOKUP(tblAnalysis[[#This Row],[Product ID]], tblProducts[Product ID], tblProducts[Unit Price])</f>
        <v>75</v>
      </c>
      <c r="I160" s="22">
        <f>_xlfn.XLOOKUP(tblAnalysis[[#This Row],[Product ID]], tblProducts[Product ID], tblProducts[Unit Cost])</f>
        <v>40</v>
      </c>
      <c r="J160" t="str">
        <f>_xlfn.XLOOKUP(tblAnalysis[[#This Row],[Rep ID]], tblReps[Rep ID], tblReps[Sales Rep])</f>
        <v>John</v>
      </c>
      <c r="K160" t="str">
        <f>_xlfn.XLOOKUP(tblAnalysis[[#This Row],[Rep ID]], tblReps[Rep ID], tblReps[Region])</f>
        <v>New York</v>
      </c>
      <c r="L160" s="22">
        <f>tblAnalysis[[#This Row],[Quantity]]*tblAnalysis[[#This Row],[Unit Price]]</f>
        <v>225</v>
      </c>
      <c r="M160" s="22">
        <f>tblAnalysis[[#This Row],[Quantity]]*(tblAnalysis[[#This Row],[Unit Price]]-tblAnalysis[[#This Row],[Unit Cost]])</f>
        <v>105</v>
      </c>
    </row>
    <row r="161" spans="1:13">
      <c r="A161" t="s">
        <v>215</v>
      </c>
      <c r="B161" s="1">
        <v>45761</v>
      </c>
      <c r="C161" t="s">
        <v>37</v>
      </c>
      <c r="D161" t="s">
        <v>12</v>
      </c>
      <c r="E161">
        <v>7</v>
      </c>
      <c r="F161" t="str">
        <f>_xlfn.XLOOKUP(tblAnalysis[[#This Row],[Product ID]], tblProducts[Product ID], tblProducts[Product Name])</f>
        <v>Webcam</v>
      </c>
      <c r="G161" t="str">
        <f>_xlfn.XLOOKUP(tblAnalysis[[#This Row],[Product ID]], tblProducts[Product ID], tblProducts[Category])</f>
        <v>Electronics</v>
      </c>
      <c r="H161" s="22">
        <f>_xlfn.XLOOKUP(tblAnalysis[[#This Row],[Product ID]], tblProducts[Product ID], tblProducts[Unit Price])</f>
        <v>60</v>
      </c>
      <c r="I161" s="22">
        <f>_xlfn.XLOOKUP(tblAnalysis[[#This Row],[Product ID]], tblProducts[Product ID], tblProducts[Unit Cost])</f>
        <v>35</v>
      </c>
      <c r="J161" t="str">
        <f>_xlfn.XLOOKUP(tblAnalysis[[#This Row],[Rep ID]], tblReps[Rep ID], tblReps[Sales Rep])</f>
        <v>Mike</v>
      </c>
      <c r="K161" t="str">
        <f>_xlfn.XLOOKUP(tblAnalysis[[#This Row],[Rep ID]], tblReps[Rep ID], tblReps[Region])</f>
        <v>Los Angeles</v>
      </c>
      <c r="L161" s="22">
        <f>tblAnalysis[[#This Row],[Quantity]]*tblAnalysis[[#This Row],[Unit Price]]</f>
        <v>420</v>
      </c>
      <c r="M161" s="22">
        <f>tblAnalysis[[#This Row],[Quantity]]*(tblAnalysis[[#This Row],[Unit Price]]-tblAnalysis[[#This Row],[Unit Cost]])</f>
        <v>175</v>
      </c>
    </row>
    <row r="162" spans="1:13">
      <c r="A162" t="s">
        <v>216</v>
      </c>
      <c r="B162" s="1">
        <v>45762</v>
      </c>
      <c r="C162" t="s">
        <v>37</v>
      </c>
      <c r="D162" t="s">
        <v>24</v>
      </c>
      <c r="E162">
        <v>6</v>
      </c>
      <c r="F162" t="str">
        <f>_xlfn.XLOOKUP(tblAnalysis[[#This Row],[Product ID]], tblProducts[Product ID], tblProducts[Product Name])</f>
        <v>Pants</v>
      </c>
      <c r="G162" t="str">
        <f>_xlfn.XLOOKUP(tblAnalysis[[#This Row],[Product ID]], tblProducts[Product ID], tblProducts[Category])</f>
        <v>Fashion</v>
      </c>
      <c r="H162" s="22">
        <f>_xlfn.XLOOKUP(tblAnalysis[[#This Row],[Product ID]], tblProducts[Product ID], tblProducts[Unit Price])</f>
        <v>40</v>
      </c>
      <c r="I162" s="22">
        <f>_xlfn.XLOOKUP(tblAnalysis[[#This Row],[Product ID]], tblProducts[Product ID], tblProducts[Unit Cost])</f>
        <v>18</v>
      </c>
      <c r="J162" t="str">
        <f>_xlfn.XLOOKUP(tblAnalysis[[#This Row],[Rep ID]], tblReps[Rep ID], tblReps[Sales Rep])</f>
        <v>Mike</v>
      </c>
      <c r="K162" t="str">
        <f>_xlfn.XLOOKUP(tblAnalysis[[#This Row],[Rep ID]], tblReps[Rep ID], tblReps[Region])</f>
        <v>Los Angeles</v>
      </c>
      <c r="L162" s="22">
        <f>tblAnalysis[[#This Row],[Quantity]]*tblAnalysis[[#This Row],[Unit Price]]</f>
        <v>240</v>
      </c>
      <c r="M162" s="22">
        <f>tblAnalysis[[#This Row],[Quantity]]*(tblAnalysis[[#This Row],[Unit Price]]-tblAnalysis[[#This Row],[Unit Cost]])</f>
        <v>132</v>
      </c>
    </row>
    <row r="163" spans="1:13">
      <c r="A163" t="s">
        <v>217</v>
      </c>
      <c r="B163" s="1">
        <v>45763</v>
      </c>
      <c r="C163" t="s">
        <v>49</v>
      </c>
      <c r="D163" t="s">
        <v>17</v>
      </c>
      <c r="E163">
        <v>5</v>
      </c>
      <c r="F163" t="str">
        <f>_xlfn.XLOOKUP(tblAnalysis[[#This Row],[Product ID]], tblProducts[Product ID], tblProducts[Product Name])</f>
        <v>Iron</v>
      </c>
      <c r="G163" t="str">
        <f>_xlfn.XLOOKUP(tblAnalysis[[#This Row],[Product ID]], tblProducts[Product ID], tblProducts[Category])</f>
        <v>Home &amp; Living</v>
      </c>
      <c r="H163" s="22">
        <f>_xlfn.XLOOKUP(tblAnalysis[[#This Row],[Product ID]], tblProducts[Product ID], tblProducts[Unit Price])</f>
        <v>35</v>
      </c>
      <c r="I163" s="22">
        <f>_xlfn.XLOOKUP(tblAnalysis[[#This Row],[Product ID]], tblProducts[Product ID], tblProducts[Unit Cost])</f>
        <v>20</v>
      </c>
      <c r="J163" t="str">
        <f>_xlfn.XLOOKUP(tblAnalysis[[#This Row],[Rep ID]], tblReps[Rep ID], tblReps[Sales Rep])</f>
        <v>Emma</v>
      </c>
      <c r="K163" t="str">
        <f>_xlfn.XLOOKUP(tblAnalysis[[#This Row],[Rep ID]], tblReps[Rep ID], tblReps[Region])</f>
        <v>Miami</v>
      </c>
      <c r="L163" s="22">
        <f>tblAnalysis[[#This Row],[Quantity]]*tblAnalysis[[#This Row],[Unit Price]]</f>
        <v>175</v>
      </c>
      <c r="M163" s="22">
        <f>tblAnalysis[[#This Row],[Quantity]]*(tblAnalysis[[#This Row],[Unit Price]]-tblAnalysis[[#This Row],[Unit Cost]])</f>
        <v>75</v>
      </c>
    </row>
    <row r="164" spans="1:13">
      <c r="A164" t="s">
        <v>218</v>
      </c>
      <c r="B164" s="1">
        <v>45763</v>
      </c>
      <c r="C164" t="s">
        <v>41</v>
      </c>
      <c r="D164" t="s">
        <v>17</v>
      </c>
      <c r="E164">
        <v>8</v>
      </c>
      <c r="F164" t="str">
        <f>_xlfn.XLOOKUP(tblAnalysis[[#This Row],[Product ID]], tblProducts[Product ID], tblProducts[Product Name])</f>
        <v>Iron</v>
      </c>
      <c r="G164" t="str">
        <f>_xlfn.XLOOKUP(tblAnalysis[[#This Row],[Product ID]], tblProducts[Product ID], tblProducts[Category])</f>
        <v>Home &amp; Living</v>
      </c>
      <c r="H164" s="22">
        <f>_xlfn.XLOOKUP(tblAnalysis[[#This Row],[Product ID]], tblProducts[Product ID], tblProducts[Unit Price])</f>
        <v>35</v>
      </c>
      <c r="I164" s="22">
        <f>_xlfn.XLOOKUP(tblAnalysis[[#This Row],[Product ID]], tblProducts[Product ID], tblProducts[Unit Cost])</f>
        <v>20</v>
      </c>
      <c r="J164" t="str">
        <f>_xlfn.XLOOKUP(tblAnalysis[[#This Row],[Rep ID]], tblReps[Rep ID], tblReps[Sales Rep])</f>
        <v>Sarah</v>
      </c>
      <c r="K164" t="str">
        <f>_xlfn.XLOOKUP(tblAnalysis[[#This Row],[Rep ID]], tblReps[Rep ID], tblReps[Region])</f>
        <v>Chicago</v>
      </c>
      <c r="L164" s="22">
        <f>tblAnalysis[[#This Row],[Quantity]]*tblAnalysis[[#This Row],[Unit Price]]</f>
        <v>280</v>
      </c>
      <c r="M164" s="22">
        <f>tblAnalysis[[#This Row],[Quantity]]*(tblAnalysis[[#This Row],[Unit Price]]-tblAnalysis[[#This Row],[Unit Cost]])</f>
        <v>120</v>
      </c>
    </row>
    <row r="165" spans="1:13">
      <c r="A165" t="s">
        <v>219</v>
      </c>
      <c r="B165" s="1">
        <v>45764</v>
      </c>
      <c r="C165" t="s">
        <v>33</v>
      </c>
      <c r="D165" t="s">
        <v>8</v>
      </c>
      <c r="E165">
        <v>10</v>
      </c>
      <c r="F165" t="str">
        <f>_xlfn.XLOOKUP(tblAnalysis[[#This Row],[Product ID]], tblProducts[Product ID], tblProducts[Product Name])</f>
        <v>Mouse</v>
      </c>
      <c r="G165" t="str">
        <f>_xlfn.XLOOKUP(tblAnalysis[[#This Row],[Product ID]], tblProducts[Product ID], tblProducts[Category])</f>
        <v>Electronics</v>
      </c>
      <c r="H165" s="22">
        <f>_xlfn.XLOOKUP(tblAnalysis[[#This Row],[Product ID]], tblProducts[Product ID], tblProducts[Unit Price])</f>
        <v>25</v>
      </c>
      <c r="I165" s="22">
        <f>_xlfn.XLOOKUP(tblAnalysis[[#This Row],[Product ID]], tblProducts[Product ID], tblProducts[Unit Cost])</f>
        <v>12</v>
      </c>
      <c r="J165" t="str">
        <f>_xlfn.XLOOKUP(tblAnalysis[[#This Row],[Rep ID]], tblReps[Rep ID], tblReps[Sales Rep])</f>
        <v>John</v>
      </c>
      <c r="K165" t="str">
        <f>_xlfn.XLOOKUP(tblAnalysis[[#This Row],[Rep ID]], tblReps[Rep ID], tblReps[Region])</f>
        <v>New York</v>
      </c>
      <c r="L165" s="22">
        <f>tblAnalysis[[#This Row],[Quantity]]*tblAnalysis[[#This Row],[Unit Price]]</f>
        <v>250</v>
      </c>
      <c r="M165" s="22">
        <f>tblAnalysis[[#This Row],[Quantity]]*(tblAnalysis[[#This Row],[Unit Price]]-tblAnalysis[[#This Row],[Unit Cost]])</f>
        <v>130</v>
      </c>
    </row>
    <row r="166" spans="1:13">
      <c r="A166" t="s">
        <v>220</v>
      </c>
      <c r="B166" s="1">
        <v>45765</v>
      </c>
      <c r="C166" t="s">
        <v>37</v>
      </c>
      <c r="D166" t="s">
        <v>8</v>
      </c>
      <c r="E166">
        <v>1</v>
      </c>
      <c r="F166" t="str">
        <f>_xlfn.XLOOKUP(tblAnalysis[[#This Row],[Product ID]], tblProducts[Product ID], tblProducts[Product Name])</f>
        <v>Mouse</v>
      </c>
      <c r="G166" t="str">
        <f>_xlfn.XLOOKUP(tblAnalysis[[#This Row],[Product ID]], tblProducts[Product ID], tblProducts[Category])</f>
        <v>Electronics</v>
      </c>
      <c r="H166" s="22">
        <f>_xlfn.XLOOKUP(tblAnalysis[[#This Row],[Product ID]], tblProducts[Product ID], tblProducts[Unit Price])</f>
        <v>25</v>
      </c>
      <c r="I166" s="22">
        <f>_xlfn.XLOOKUP(tblAnalysis[[#This Row],[Product ID]], tblProducts[Product ID], tblProducts[Unit Cost])</f>
        <v>12</v>
      </c>
      <c r="J166" t="str">
        <f>_xlfn.XLOOKUP(tblAnalysis[[#This Row],[Rep ID]], tblReps[Rep ID], tblReps[Sales Rep])</f>
        <v>Mike</v>
      </c>
      <c r="K166" t="str">
        <f>_xlfn.XLOOKUP(tblAnalysis[[#This Row],[Rep ID]], tblReps[Rep ID], tblReps[Region])</f>
        <v>Los Angeles</v>
      </c>
      <c r="L166" s="22">
        <f>tblAnalysis[[#This Row],[Quantity]]*tblAnalysis[[#This Row],[Unit Price]]</f>
        <v>25</v>
      </c>
      <c r="M166" s="22">
        <f>tblAnalysis[[#This Row],[Quantity]]*(tblAnalysis[[#This Row],[Unit Price]]-tblAnalysis[[#This Row],[Unit Cost]])</f>
        <v>13</v>
      </c>
    </row>
    <row r="167" spans="1:13">
      <c r="A167" t="s">
        <v>221</v>
      </c>
      <c r="B167" s="1">
        <v>45765</v>
      </c>
      <c r="C167" t="s">
        <v>37</v>
      </c>
      <c r="D167" t="s">
        <v>8</v>
      </c>
      <c r="E167">
        <v>9</v>
      </c>
      <c r="F167" t="str">
        <f>_xlfn.XLOOKUP(tblAnalysis[[#This Row],[Product ID]], tblProducts[Product ID], tblProducts[Product Name])</f>
        <v>Mouse</v>
      </c>
      <c r="G167" t="str">
        <f>_xlfn.XLOOKUP(tblAnalysis[[#This Row],[Product ID]], tblProducts[Product ID], tblProducts[Category])</f>
        <v>Electronics</v>
      </c>
      <c r="H167" s="22">
        <f>_xlfn.XLOOKUP(tblAnalysis[[#This Row],[Product ID]], tblProducts[Product ID], tblProducts[Unit Price])</f>
        <v>25</v>
      </c>
      <c r="I167" s="22">
        <f>_xlfn.XLOOKUP(tblAnalysis[[#This Row],[Product ID]], tblProducts[Product ID], tblProducts[Unit Cost])</f>
        <v>12</v>
      </c>
      <c r="J167" t="str">
        <f>_xlfn.XLOOKUP(tblAnalysis[[#This Row],[Rep ID]], tblReps[Rep ID], tblReps[Sales Rep])</f>
        <v>Mike</v>
      </c>
      <c r="K167" t="str">
        <f>_xlfn.XLOOKUP(tblAnalysis[[#This Row],[Rep ID]], tblReps[Rep ID], tblReps[Region])</f>
        <v>Los Angeles</v>
      </c>
      <c r="L167" s="22">
        <f>tblAnalysis[[#This Row],[Quantity]]*tblAnalysis[[#This Row],[Unit Price]]</f>
        <v>225</v>
      </c>
      <c r="M167" s="22">
        <f>tblAnalysis[[#This Row],[Quantity]]*(tblAnalysis[[#This Row],[Unit Price]]-tblAnalysis[[#This Row],[Unit Cost]])</f>
        <v>117</v>
      </c>
    </row>
    <row r="168" spans="1:13">
      <c r="A168" t="s">
        <v>222</v>
      </c>
      <c r="B168" s="1">
        <v>45766</v>
      </c>
      <c r="C168" t="s">
        <v>49</v>
      </c>
      <c r="D168" t="s">
        <v>14</v>
      </c>
      <c r="E168">
        <v>6</v>
      </c>
      <c r="F168" t="str">
        <f>_xlfn.XLOOKUP(tblAnalysis[[#This Row],[Product ID]], tblProducts[Product ID], tblProducts[Product Name])</f>
        <v>Blender</v>
      </c>
      <c r="G168" t="str">
        <f>_xlfn.XLOOKUP(tblAnalysis[[#This Row],[Product ID]], tblProducts[Product ID], tblProducts[Category])</f>
        <v>Home &amp; Living</v>
      </c>
      <c r="H168" s="22">
        <f>_xlfn.XLOOKUP(tblAnalysis[[#This Row],[Product ID]], tblProducts[Product ID], tblProducts[Unit Price])</f>
        <v>50</v>
      </c>
      <c r="I168" s="22">
        <f>_xlfn.XLOOKUP(tblAnalysis[[#This Row],[Product ID]], tblProducts[Product ID], tblProducts[Unit Cost])</f>
        <v>30</v>
      </c>
      <c r="J168" t="str">
        <f>_xlfn.XLOOKUP(tblAnalysis[[#This Row],[Rep ID]], tblReps[Rep ID], tblReps[Sales Rep])</f>
        <v>Emma</v>
      </c>
      <c r="K168" t="str">
        <f>_xlfn.XLOOKUP(tblAnalysis[[#This Row],[Rep ID]], tblReps[Rep ID], tblReps[Region])</f>
        <v>Miami</v>
      </c>
      <c r="L168" s="22">
        <f>tblAnalysis[[#This Row],[Quantity]]*tblAnalysis[[#This Row],[Unit Price]]</f>
        <v>300</v>
      </c>
      <c r="M168" s="22">
        <f>tblAnalysis[[#This Row],[Quantity]]*(tblAnalysis[[#This Row],[Unit Price]]-tblAnalysis[[#This Row],[Unit Cost]])</f>
        <v>120</v>
      </c>
    </row>
    <row r="169" spans="1:13">
      <c r="A169" t="s">
        <v>223</v>
      </c>
      <c r="B169" s="1">
        <v>45769</v>
      </c>
      <c r="C169" t="s">
        <v>49</v>
      </c>
      <c r="D169" t="s">
        <v>26</v>
      </c>
      <c r="E169">
        <v>3</v>
      </c>
      <c r="F169" t="str">
        <f>_xlfn.XLOOKUP(tblAnalysis[[#This Row],[Product ID]], tblProducts[Product ID], tblProducts[Product Name])</f>
        <v>Shoes</v>
      </c>
      <c r="G169" t="str">
        <f>_xlfn.XLOOKUP(tblAnalysis[[#This Row],[Product ID]], tblProducts[Product ID], tblProducts[Category])</f>
        <v>Fashion</v>
      </c>
      <c r="H169" s="22">
        <f>_xlfn.XLOOKUP(tblAnalysis[[#This Row],[Product ID]], tblProducts[Product ID], tblProducts[Unit Price])</f>
        <v>75</v>
      </c>
      <c r="I169" s="22">
        <f>_xlfn.XLOOKUP(tblAnalysis[[#This Row],[Product ID]], tblProducts[Product ID], tblProducts[Unit Cost])</f>
        <v>40</v>
      </c>
      <c r="J169" t="str">
        <f>_xlfn.XLOOKUP(tblAnalysis[[#This Row],[Rep ID]], tblReps[Rep ID], tblReps[Sales Rep])</f>
        <v>Emma</v>
      </c>
      <c r="K169" t="str">
        <f>_xlfn.XLOOKUP(tblAnalysis[[#This Row],[Rep ID]], tblReps[Rep ID], tblReps[Region])</f>
        <v>Miami</v>
      </c>
      <c r="L169" s="22">
        <f>tblAnalysis[[#This Row],[Quantity]]*tblAnalysis[[#This Row],[Unit Price]]</f>
        <v>225</v>
      </c>
      <c r="M169" s="22">
        <f>tblAnalysis[[#This Row],[Quantity]]*(tblAnalysis[[#This Row],[Unit Price]]-tblAnalysis[[#This Row],[Unit Cost]])</f>
        <v>105</v>
      </c>
    </row>
    <row r="170" spans="1:13">
      <c r="A170" t="s">
        <v>224</v>
      </c>
      <c r="B170" s="1">
        <v>45769</v>
      </c>
      <c r="C170" t="s">
        <v>33</v>
      </c>
      <c r="D170" t="s">
        <v>12</v>
      </c>
      <c r="E170">
        <v>6</v>
      </c>
      <c r="F170" t="str">
        <f>_xlfn.XLOOKUP(tblAnalysis[[#This Row],[Product ID]], tblProducts[Product ID], tblProducts[Product Name])</f>
        <v>Webcam</v>
      </c>
      <c r="G170" t="str">
        <f>_xlfn.XLOOKUP(tblAnalysis[[#This Row],[Product ID]], tblProducts[Product ID], tblProducts[Category])</f>
        <v>Electronics</v>
      </c>
      <c r="H170" s="22">
        <f>_xlfn.XLOOKUP(tblAnalysis[[#This Row],[Product ID]], tblProducts[Product ID], tblProducts[Unit Price])</f>
        <v>60</v>
      </c>
      <c r="I170" s="22">
        <f>_xlfn.XLOOKUP(tblAnalysis[[#This Row],[Product ID]], tblProducts[Product ID], tblProducts[Unit Cost])</f>
        <v>35</v>
      </c>
      <c r="J170" t="str">
        <f>_xlfn.XLOOKUP(tblAnalysis[[#This Row],[Rep ID]], tblReps[Rep ID], tblReps[Sales Rep])</f>
        <v>John</v>
      </c>
      <c r="K170" t="str">
        <f>_xlfn.XLOOKUP(tblAnalysis[[#This Row],[Rep ID]], tblReps[Rep ID], tblReps[Region])</f>
        <v>New York</v>
      </c>
      <c r="L170" s="22">
        <f>tblAnalysis[[#This Row],[Quantity]]*tblAnalysis[[#This Row],[Unit Price]]</f>
        <v>360</v>
      </c>
      <c r="M170" s="22">
        <f>tblAnalysis[[#This Row],[Quantity]]*(tblAnalysis[[#This Row],[Unit Price]]-tblAnalysis[[#This Row],[Unit Cost]])</f>
        <v>150</v>
      </c>
    </row>
    <row r="171" spans="1:13">
      <c r="A171" t="s">
        <v>225</v>
      </c>
      <c r="B171" s="1">
        <v>45770</v>
      </c>
      <c r="C171" t="s">
        <v>33</v>
      </c>
      <c r="D171" t="s">
        <v>26</v>
      </c>
      <c r="E171">
        <v>9</v>
      </c>
      <c r="F171" t="str">
        <f>_xlfn.XLOOKUP(tblAnalysis[[#This Row],[Product ID]], tblProducts[Product ID], tblProducts[Product Name])</f>
        <v>Shoes</v>
      </c>
      <c r="G171" t="str">
        <f>_xlfn.XLOOKUP(tblAnalysis[[#This Row],[Product ID]], tblProducts[Product ID], tblProducts[Category])</f>
        <v>Fashion</v>
      </c>
      <c r="H171" s="22">
        <f>_xlfn.XLOOKUP(tblAnalysis[[#This Row],[Product ID]], tblProducts[Product ID], tblProducts[Unit Price])</f>
        <v>75</v>
      </c>
      <c r="I171" s="22">
        <f>_xlfn.XLOOKUP(tblAnalysis[[#This Row],[Product ID]], tblProducts[Product ID], tblProducts[Unit Cost])</f>
        <v>40</v>
      </c>
      <c r="J171" t="str">
        <f>_xlfn.XLOOKUP(tblAnalysis[[#This Row],[Rep ID]], tblReps[Rep ID], tblReps[Sales Rep])</f>
        <v>John</v>
      </c>
      <c r="K171" t="str">
        <f>_xlfn.XLOOKUP(tblAnalysis[[#This Row],[Rep ID]], tblReps[Rep ID], tblReps[Region])</f>
        <v>New York</v>
      </c>
      <c r="L171" s="22">
        <f>tblAnalysis[[#This Row],[Quantity]]*tblAnalysis[[#This Row],[Unit Price]]</f>
        <v>675</v>
      </c>
      <c r="M171" s="22">
        <f>tblAnalysis[[#This Row],[Quantity]]*(tblAnalysis[[#This Row],[Unit Price]]-tblAnalysis[[#This Row],[Unit Cost]])</f>
        <v>315</v>
      </c>
    </row>
    <row r="172" spans="1:13">
      <c r="A172" t="s">
        <v>226</v>
      </c>
      <c r="B172" s="1">
        <v>45770</v>
      </c>
      <c r="C172" t="s">
        <v>49</v>
      </c>
      <c r="D172" t="s">
        <v>17</v>
      </c>
      <c r="E172">
        <v>9</v>
      </c>
      <c r="F172" t="str">
        <f>_xlfn.XLOOKUP(tblAnalysis[[#This Row],[Product ID]], tblProducts[Product ID], tblProducts[Product Name])</f>
        <v>Iron</v>
      </c>
      <c r="G172" t="str">
        <f>_xlfn.XLOOKUP(tblAnalysis[[#This Row],[Product ID]], tblProducts[Product ID], tblProducts[Category])</f>
        <v>Home &amp; Living</v>
      </c>
      <c r="H172" s="22">
        <f>_xlfn.XLOOKUP(tblAnalysis[[#This Row],[Product ID]], tblProducts[Product ID], tblProducts[Unit Price])</f>
        <v>35</v>
      </c>
      <c r="I172" s="22">
        <f>_xlfn.XLOOKUP(tblAnalysis[[#This Row],[Product ID]], tblProducts[Product ID], tblProducts[Unit Cost])</f>
        <v>20</v>
      </c>
      <c r="J172" t="str">
        <f>_xlfn.XLOOKUP(tblAnalysis[[#This Row],[Rep ID]], tblReps[Rep ID], tblReps[Sales Rep])</f>
        <v>Emma</v>
      </c>
      <c r="K172" t="str">
        <f>_xlfn.XLOOKUP(tblAnalysis[[#This Row],[Rep ID]], tblReps[Rep ID], tblReps[Region])</f>
        <v>Miami</v>
      </c>
      <c r="L172" s="22">
        <f>tblAnalysis[[#This Row],[Quantity]]*tblAnalysis[[#This Row],[Unit Price]]</f>
        <v>315</v>
      </c>
      <c r="M172" s="22">
        <f>tblAnalysis[[#This Row],[Quantity]]*(tblAnalysis[[#This Row],[Unit Price]]-tblAnalysis[[#This Row],[Unit Cost]])</f>
        <v>135</v>
      </c>
    </row>
    <row r="173" spans="1:13">
      <c r="A173" t="s">
        <v>227</v>
      </c>
      <c r="B173" s="1">
        <v>45770</v>
      </c>
      <c r="C173" t="s">
        <v>33</v>
      </c>
      <c r="D173" t="s">
        <v>19</v>
      </c>
      <c r="E173">
        <v>5</v>
      </c>
      <c r="F173" t="str">
        <f>_xlfn.XLOOKUP(tblAnalysis[[#This Row],[Product ID]], tblProducts[Product ID], tblProducts[Product Name])</f>
        <v>Fan</v>
      </c>
      <c r="G173" t="str">
        <f>_xlfn.XLOOKUP(tblAnalysis[[#This Row],[Product ID]], tblProducts[Product ID], tblProducts[Category])</f>
        <v>Home &amp; Living</v>
      </c>
      <c r="H173" s="22">
        <f>_xlfn.XLOOKUP(tblAnalysis[[#This Row],[Product ID]], tblProducts[Product ID], tblProducts[Unit Price])</f>
        <v>45</v>
      </c>
      <c r="I173" s="22">
        <f>_xlfn.XLOOKUP(tblAnalysis[[#This Row],[Product ID]], tblProducts[Product ID], tblProducts[Unit Cost])</f>
        <v>25</v>
      </c>
      <c r="J173" t="str">
        <f>_xlfn.XLOOKUP(tblAnalysis[[#This Row],[Rep ID]], tblReps[Rep ID], tblReps[Sales Rep])</f>
        <v>John</v>
      </c>
      <c r="K173" t="str">
        <f>_xlfn.XLOOKUP(tblAnalysis[[#This Row],[Rep ID]], tblReps[Rep ID], tblReps[Region])</f>
        <v>New York</v>
      </c>
      <c r="L173" s="22">
        <f>tblAnalysis[[#This Row],[Quantity]]*tblAnalysis[[#This Row],[Unit Price]]</f>
        <v>225</v>
      </c>
      <c r="M173" s="22">
        <f>tblAnalysis[[#This Row],[Quantity]]*(tblAnalysis[[#This Row],[Unit Price]]-tblAnalysis[[#This Row],[Unit Cost]])</f>
        <v>100</v>
      </c>
    </row>
    <row r="174" spans="1:13">
      <c r="A174" t="s">
        <v>228</v>
      </c>
      <c r="B174" s="1">
        <v>45770</v>
      </c>
      <c r="C174" t="s">
        <v>41</v>
      </c>
      <c r="D174" t="s">
        <v>19</v>
      </c>
      <c r="E174">
        <v>7</v>
      </c>
      <c r="F174" t="str">
        <f>_xlfn.XLOOKUP(tblAnalysis[[#This Row],[Product ID]], tblProducts[Product ID], tblProducts[Product Name])</f>
        <v>Fan</v>
      </c>
      <c r="G174" t="str">
        <f>_xlfn.XLOOKUP(tblAnalysis[[#This Row],[Product ID]], tblProducts[Product ID], tblProducts[Category])</f>
        <v>Home &amp; Living</v>
      </c>
      <c r="H174" s="22">
        <f>_xlfn.XLOOKUP(tblAnalysis[[#This Row],[Product ID]], tblProducts[Product ID], tblProducts[Unit Price])</f>
        <v>45</v>
      </c>
      <c r="I174" s="22">
        <f>_xlfn.XLOOKUP(tblAnalysis[[#This Row],[Product ID]], tblProducts[Product ID], tblProducts[Unit Cost])</f>
        <v>25</v>
      </c>
      <c r="J174" t="str">
        <f>_xlfn.XLOOKUP(tblAnalysis[[#This Row],[Rep ID]], tblReps[Rep ID], tblReps[Sales Rep])</f>
        <v>Sarah</v>
      </c>
      <c r="K174" t="str">
        <f>_xlfn.XLOOKUP(tblAnalysis[[#This Row],[Rep ID]], tblReps[Rep ID], tblReps[Region])</f>
        <v>Chicago</v>
      </c>
      <c r="L174" s="22">
        <f>tblAnalysis[[#This Row],[Quantity]]*tblAnalysis[[#This Row],[Unit Price]]</f>
        <v>315</v>
      </c>
      <c r="M174" s="22">
        <f>tblAnalysis[[#This Row],[Quantity]]*(tblAnalysis[[#This Row],[Unit Price]]-tblAnalysis[[#This Row],[Unit Cost]])</f>
        <v>140</v>
      </c>
    </row>
    <row r="175" spans="1:13">
      <c r="A175" t="s">
        <v>229</v>
      </c>
      <c r="B175" s="1">
        <v>45770</v>
      </c>
      <c r="C175" t="s">
        <v>45</v>
      </c>
      <c r="D175" t="s">
        <v>21</v>
      </c>
      <c r="E175">
        <v>1</v>
      </c>
      <c r="F175" t="str">
        <f>_xlfn.XLOOKUP(tblAnalysis[[#This Row],[Product ID]], tblProducts[Product ID], tblProducts[Product Name])</f>
        <v>T-Shirt</v>
      </c>
      <c r="G175" t="str">
        <f>_xlfn.XLOOKUP(tblAnalysis[[#This Row],[Product ID]], tblProducts[Product ID], tblProducts[Category])</f>
        <v>Fashion</v>
      </c>
      <c r="H175" s="22">
        <f>_xlfn.XLOOKUP(tblAnalysis[[#This Row],[Product ID]], tblProducts[Product ID], tblProducts[Unit Price])</f>
        <v>20</v>
      </c>
      <c r="I175" s="22">
        <f>_xlfn.XLOOKUP(tblAnalysis[[#This Row],[Product ID]], tblProducts[Product ID], tblProducts[Unit Cost])</f>
        <v>8</v>
      </c>
      <c r="J175" t="str">
        <f>_xlfn.XLOOKUP(tblAnalysis[[#This Row],[Rep ID]], tblReps[Rep ID], tblReps[Sales Rep])</f>
        <v>David</v>
      </c>
      <c r="K175" t="str">
        <f>_xlfn.XLOOKUP(tblAnalysis[[#This Row],[Rep ID]], tblReps[Rep ID], tblReps[Region])</f>
        <v>Houston</v>
      </c>
      <c r="L175" s="22">
        <f>tblAnalysis[[#This Row],[Quantity]]*tblAnalysis[[#This Row],[Unit Price]]</f>
        <v>20</v>
      </c>
      <c r="M175" s="22">
        <f>tblAnalysis[[#This Row],[Quantity]]*(tblAnalysis[[#This Row],[Unit Price]]-tblAnalysis[[#This Row],[Unit Cost]])</f>
        <v>12</v>
      </c>
    </row>
    <row r="176" spans="1:13">
      <c r="A176" t="s">
        <v>230</v>
      </c>
      <c r="B176" s="1">
        <v>45771</v>
      </c>
      <c r="C176" t="s">
        <v>41</v>
      </c>
      <c r="D176" t="s">
        <v>24</v>
      </c>
      <c r="E176">
        <v>6</v>
      </c>
      <c r="F176" t="str">
        <f>_xlfn.XLOOKUP(tblAnalysis[[#This Row],[Product ID]], tblProducts[Product ID], tblProducts[Product Name])</f>
        <v>Pants</v>
      </c>
      <c r="G176" t="str">
        <f>_xlfn.XLOOKUP(tblAnalysis[[#This Row],[Product ID]], tblProducts[Product ID], tblProducts[Category])</f>
        <v>Fashion</v>
      </c>
      <c r="H176" s="22">
        <f>_xlfn.XLOOKUP(tblAnalysis[[#This Row],[Product ID]], tblProducts[Product ID], tblProducts[Unit Price])</f>
        <v>40</v>
      </c>
      <c r="I176" s="22">
        <f>_xlfn.XLOOKUP(tblAnalysis[[#This Row],[Product ID]], tblProducts[Product ID], tblProducts[Unit Cost])</f>
        <v>18</v>
      </c>
      <c r="J176" t="str">
        <f>_xlfn.XLOOKUP(tblAnalysis[[#This Row],[Rep ID]], tblReps[Rep ID], tblReps[Sales Rep])</f>
        <v>Sarah</v>
      </c>
      <c r="K176" t="str">
        <f>_xlfn.XLOOKUP(tblAnalysis[[#This Row],[Rep ID]], tblReps[Rep ID], tblReps[Region])</f>
        <v>Chicago</v>
      </c>
      <c r="L176" s="22">
        <f>tblAnalysis[[#This Row],[Quantity]]*tblAnalysis[[#This Row],[Unit Price]]</f>
        <v>240</v>
      </c>
      <c r="M176" s="22">
        <f>tblAnalysis[[#This Row],[Quantity]]*(tblAnalysis[[#This Row],[Unit Price]]-tblAnalysis[[#This Row],[Unit Cost]])</f>
        <v>132</v>
      </c>
    </row>
    <row r="177" spans="1:13">
      <c r="A177" t="s">
        <v>231</v>
      </c>
      <c r="B177" s="1">
        <v>45771</v>
      </c>
      <c r="C177" t="s">
        <v>37</v>
      </c>
      <c r="D177" t="s">
        <v>17</v>
      </c>
      <c r="E177">
        <v>7</v>
      </c>
      <c r="F177" t="str">
        <f>_xlfn.XLOOKUP(tblAnalysis[[#This Row],[Product ID]], tblProducts[Product ID], tblProducts[Product Name])</f>
        <v>Iron</v>
      </c>
      <c r="G177" t="str">
        <f>_xlfn.XLOOKUP(tblAnalysis[[#This Row],[Product ID]], tblProducts[Product ID], tblProducts[Category])</f>
        <v>Home &amp; Living</v>
      </c>
      <c r="H177" s="22">
        <f>_xlfn.XLOOKUP(tblAnalysis[[#This Row],[Product ID]], tblProducts[Product ID], tblProducts[Unit Price])</f>
        <v>35</v>
      </c>
      <c r="I177" s="22">
        <f>_xlfn.XLOOKUP(tblAnalysis[[#This Row],[Product ID]], tblProducts[Product ID], tblProducts[Unit Cost])</f>
        <v>20</v>
      </c>
      <c r="J177" t="str">
        <f>_xlfn.XLOOKUP(tblAnalysis[[#This Row],[Rep ID]], tblReps[Rep ID], tblReps[Sales Rep])</f>
        <v>Mike</v>
      </c>
      <c r="K177" t="str">
        <f>_xlfn.XLOOKUP(tblAnalysis[[#This Row],[Rep ID]], tblReps[Rep ID], tblReps[Region])</f>
        <v>Los Angeles</v>
      </c>
      <c r="L177" s="22">
        <f>tblAnalysis[[#This Row],[Quantity]]*tblAnalysis[[#This Row],[Unit Price]]</f>
        <v>245</v>
      </c>
      <c r="M177" s="22">
        <f>tblAnalysis[[#This Row],[Quantity]]*(tblAnalysis[[#This Row],[Unit Price]]-tblAnalysis[[#This Row],[Unit Cost]])</f>
        <v>105</v>
      </c>
    </row>
    <row r="178" spans="1:13">
      <c r="A178" t="s">
        <v>232</v>
      </c>
      <c r="B178" s="1">
        <v>45772</v>
      </c>
      <c r="C178" t="s">
        <v>37</v>
      </c>
      <c r="D178" t="s">
        <v>26</v>
      </c>
      <c r="E178">
        <v>9</v>
      </c>
      <c r="F178" t="str">
        <f>_xlfn.XLOOKUP(tblAnalysis[[#This Row],[Product ID]], tblProducts[Product ID], tblProducts[Product Name])</f>
        <v>Shoes</v>
      </c>
      <c r="G178" t="str">
        <f>_xlfn.XLOOKUP(tblAnalysis[[#This Row],[Product ID]], tblProducts[Product ID], tblProducts[Category])</f>
        <v>Fashion</v>
      </c>
      <c r="H178" s="22">
        <f>_xlfn.XLOOKUP(tblAnalysis[[#This Row],[Product ID]], tblProducts[Product ID], tblProducts[Unit Price])</f>
        <v>75</v>
      </c>
      <c r="I178" s="22">
        <f>_xlfn.XLOOKUP(tblAnalysis[[#This Row],[Product ID]], tblProducts[Product ID], tblProducts[Unit Cost])</f>
        <v>40</v>
      </c>
      <c r="J178" t="str">
        <f>_xlfn.XLOOKUP(tblAnalysis[[#This Row],[Rep ID]], tblReps[Rep ID], tblReps[Sales Rep])</f>
        <v>Mike</v>
      </c>
      <c r="K178" t="str">
        <f>_xlfn.XLOOKUP(tblAnalysis[[#This Row],[Rep ID]], tblReps[Rep ID], tblReps[Region])</f>
        <v>Los Angeles</v>
      </c>
      <c r="L178" s="22">
        <f>tblAnalysis[[#This Row],[Quantity]]*tblAnalysis[[#This Row],[Unit Price]]</f>
        <v>675</v>
      </c>
      <c r="M178" s="22">
        <f>tblAnalysis[[#This Row],[Quantity]]*(tblAnalysis[[#This Row],[Unit Price]]-tblAnalysis[[#This Row],[Unit Cost]])</f>
        <v>315</v>
      </c>
    </row>
    <row r="179" spans="1:13">
      <c r="A179" t="s">
        <v>233</v>
      </c>
      <c r="B179" s="1">
        <v>45773</v>
      </c>
      <c r="C179" t="s">
        <v>45</v>
      </c>
      <c r="D179" t="s">
        <v>17</v>
      </c>
      <c r="E179">
        <v>5</v>
      </c>
      <c r="F179" t="str">
        <f>_xlfn.XLOOKUP(tblAnalysis[[#This Row],[Product ID]], tblProducts[Product ID], tblProducts[Product Name])</f>
        <v>Iron</v>
      </c>
      <c r="G179" t="str">
        <f>_xlfn.XLOOKUP(tblAnalysis[[#This Row],[Product ID]], tblProducts[Product ID], tblProducts[Category])</f>
        <v>Home &amp; Living</v>
      </c>
      <c r="H179" s="22">
        <f>_xlfn.XLOOKUP(tblAnalysis[[#This Row],[Product ID]], tblProducts[Product ID], tblProducts[Unit Price])</f>
        <v>35</v>
      </c>
      <c r="I179" s="22">
        <f>_xlfn.XLOOKUP(tblAnalysis[[#This Row],[Product ID]], tblProducts[Product ID], tblProducts[Unit Cost])</f>
        <v>20</v>
      </c>
      <c r="J179" t="str">
        <f>_xlfn.XLOOKUP(tblAnalysis[[#This Row],[Rep ID]], tblReps[Rep ID], tblReps[Sales Rep])</f>
        <v>David</v>
      </c>
      <c r="K179" t="str">
        <f>_xlfn.XLOOKUP(tblAnalysis[[#This Row],[Rep ID]], tblReps[Rep ID], tblReps[Region])</f>
        <v>Houston</v>
      </c>
      <c r="L179" s="22">
        <f>tblAnalysis[[#This Row],[Quantity]]*tblAnalysis[[#This Row],[Unit Price]]</f>
        <v>175</v>
      </c>
      <c r="M179" s="22">
        <f>tblAnalysis[[#This Row],[Quantity]]*(tblAnalysis[[#This Row],[Unit Price]]-tblAnalysis[[#This Row],[Unit Cost]])</f>
        <v>75</v>
      </c>
    </row>
    <row r="180" spans="1:13">
      <c r="A180" t="s">
        <v>234</v>
      </c>
      <c r="B180" s="1">
        <v>45773</v>
      </c>
      <c r="C180" t="s">
        <v>49</v>
      </c>
      <c r="D180" t="s">
        <v>5</v>
      </c>
      <c r="E180">
        <v>8</v>
      </c>
      <c r="F180" t="str">
        <f>_xlfn.XLOOKUP(tblAnalysis[[#This Row],[Product ID]], tblProducts[Product ID], tblProducts[Product Name])</f>
        <v>Headset</v>
      </c>
      <c r="G180" t="str">
        <f>_xlfn.XLOOKUP(tblAnalysis[[#This Row],[Product ID]], tblProducts[Product ID], tblProducts[Category])</f>
        <v>Electronics</v>
      </c>
      <c r="H180" s="22">
        <f>_xlfn.XLOOKUP(tblAnalysis[[#This Row],[Product ID]], tblProducts[Product ID], tblProducts[Unit Price])</f>
        <v>75</v>
      </c>
      <c r="I180" s="22">
        <f>_xlfn.XLOOKUP(tblAnalysis[[#This Row],[Product ID]], tblProducts[Product ID], tblProducts[Unit Cost])</f>
        <v>45</v>
      </c>
      <c r="J180" t="str">
        <f>_xlfn.XLOOKUP(tblAnalysis[[#This Row],[Rep ID]], tblReps[Rep ID], tblReps[Sales Rep])</f>
        <v>Emma</v>
      </c>
      <c r="K180" t="str">
        <f>_xlfn.XLOOKUP(tblAnalysis[[#This Row],[Rep ID]], tblReps[Rep ID], tblReps[Region])</f>
        <v>Miami</v>
      </c>
      <c r="L180" s="22">
        <f>tblAnalysis[[#This Row],[Quantity]]*tblAnalysis[[#This Row],[Unit Price]]</f>
        <v>600</v>
      </c>
      <c r="M180" s="22">
        <f>tblAnalysis[[#This Row],[Quantity]]*(tblAnalysis[[#This Row],[Unit Price]]-tblAnalysis[[#This Row],[Unit Cost]])</f>
        <v>240</v>
      </c>
    </row>
    <row r="181" spans="1:13">
      <c r="A181" t="s">
        <v>235</v>
      </c>
      <c r="B181" s="1">
        <v>45773</v>
      </c>
      <c r="C181" t="s">
        <v>33</v>
      </c>
      <c r="D181" t="s">
        <v>12</v>
      </c>
      <c r="E181">
        <v>4</v>
      </c>
      <c r="F181" t="str">
        <f>_xlfn.XLOOKUP(tblAnalysis[[#This Row],[Product ID]], tblProducts[Product ID], tblProducts[Product Name])</f>
        <v>Webcam</v>
      </c>
      <c r="G181" t="str">
        <f>_xlfn.XLOOKUP(tblAnalysis[[#This Row],[Product ID]], tblProducts[Product ID], tblProducts[Category])</f>
        <v>Electronics</v>
      </c>
      <c r="H181" s="22">
        <f>_xlfn.XLOOKUP(tblAnalysis[[#This Row],[Product ID]], tblProducts[Product ID], tblProducts[Unit Price])</f>
        <v>60</v>
      </c>
      <c r="I181" s="22">
        <f>_xlfn.XLOOKUP(tblAnalysis[[#This Row],[Product ID]], tblProducts[Product ID], tblProducts[Unit Cost])</f>
        <v>35</v>
      </c>
      <c r="J181" t="str">
        <f>_xlfn.XLOOKUP(tblAnalysis[[#This Row],[Rep ID]], tblReps[Rep ID], tblReps[Sales Rep])</f>
        <v>John</v>
      </c>
      <c r="K181" t="str">
        <f>_xlfn.XLOOKUP(tblAnalysis[[#This Row],[Rep ID]], tblReps[Rep ID], tblReps[Region])</f>
        <v>New York</v>
      </c>
      <c r="L181" s="22">
        <f>tblAnalysis[[#This Row],[Quantity]]*tblAnalysis[[#This Row],[Unit Price]]</f>
        <v>240</v>
      </c>
      <c r="M181" s="22">
        <f>tblAnalysis[[#This Row],[Quantity]]*(tblAnalysis[[#This Row],[Unit Price]]-tblAnalysis[[#This Row],[Unit Cost]])</f>
        <v>100</v>
      </c>
    </row>
    <row r="182" spans="1:13">
      <c r="A182" t="s">
        <v>236</v>
      </c>
      <c r="B182" s="1">
        <v>45774</v>
      </c>
      <c r="C182" t="s">
        <v>49</v>
      </c>
      <c r="D182" t="s">
        <v>24</v>
      </c>
      <c r="E182">
        <v>4</v>
      </c>
      <c r="F182" t="str">
        <f>_xlfn.XLOOKUP(tblAnalysis[[#This Row],[Product ID]], tblProducts[Product ID], tblProducts[Product Name])</f>
        <v>Pants</v>
      </c>
      <c r="G182" t="str">
        <f>_xlfn.XLOOKUP(tblAnalysis[[#This Row],[Product ID]], tblProducts[Product ID], tblProducts[Category])</f>
        <v>Fashion</v>
      </c>
      <c r="H182" s="22">
        <f>_xlfn.XLOOKUP(tblAnalysis[[#This Row],[Product ID]], tblProducts[Product ID], tblProducts[Unit Price])</f>
        <v>40</v>
      </c>
      <c r="I182" s="22">
        <f>_xlfn.XLOOKUP(tblAnalysis[[#This Row],[Product ID]], tblProducts[Product ID], tblProducts[Unit Cost])</f>
        <v>18</v>
      </c>
      <c r="J182" t="str">
        <f>_xlfn.XLOOKUP(tblAnalysis[[#This Row],[Rep ID]], tblReps[Rep ID], tblReps[Sales Rep])</f>
        <v>Emma</v>
      </c>
      <c r="K182" t="str">
        <f>_xlfn.XLOOKUP(tblAnalysis[[#This Row],[Rep ID]], tblReps[Rep ID], tblReps[Region])</f>
        <v>Miami</v>
      </c>
      <c r="L182" s="22">
        <f>tblAnalysis[[#This Row],[Quantity]]*tblAnalysis[[#This Row],[Unit Price]]</f>
        <v>160</v>
      </c>
      <c r="M182" s="22">
        <f>tblAnalysis[[#This Row],[Quantity]]*(tblAnalysis[[#This Row],[Unit Price]]-tblAnalysis[[#This Row],[Unit Cost]])</f>
        <v>88</v>
      </c>
    </row>
    <row r="183" spans="1:13">
      <c r="A183" t="s">
        <v>237</v>
      </c>
      <c r="B183" s="1">
        <v>45775</v>
      </c>
      <c r="C183" t="s">
        <v>41</v>
      </c>
      <c r="D183" t="s">
        <v>14</v>
      </c>
      <c r="E183">
        <v>10</v>
      </c>
      <c r="F183" t="str">
        <f>_xlfn.XLOOKUP(tblAnalysis[[#This Row],[Product ID]], tblProducts[Product ID], tblProducts[Product Name])</f>
        <v>Blender</v>
      </c>
      <c r="G183" t="str">
        <f>_xlfn.XLOOKUP(tblAnalysis[[#This Row],[Product ID]], tblProducts[Product ID], tblProducts[Category])</f>
        <v>Home &amp; Living</v>
      </c>
      <c r="H183" s="22">
        <f>_xlfn.XLOOKUP(tblAnalysis[[#This Row],[Product ID]], tblProducts[Product ID], tblProducts[Unit Price])</f>
        <v>50</v>
      </c>
      <c r="I183" s="22">
        <f>_xlfn.XLOOKUP(tblAnalysis[[#This Row],[Product ID]], tblProducts[Product ID], tblProducts[Unit Cost])</f>
        <v>30</v>
      </c>
      <c r="J183" t="str">
        <f>_xlfn.XLOOKUP(tblAnalysis[[#This Row],[Rep ID]], tblReps[Rep ID], tblReps[Sales Rep])</f>
        <v>Sarah</v>
      </c>
      <c r="K183" t="str">
        <f>_xlfn.XLOOKUP(tblAnalysis[[#This Row],[Rep ID]], tblReps[Rep ID], tblReps[Region])</f>
        <v>Chicago</v>
      </c>
      <c r="L183" s="22">
        <f>tblAnalysis[[#This Row],[Quantity]]*tblAnalysis[[#This Row],[Unit Price]]</f>
        <v>500</v>
      </c>
      <c r="M183" s="22">
        <f>tblAnalysis[[#This Row],[Quantity]]*(tblAnalysis[[#This Row],[Unit Price]]-tblAnalysis[[#This Row],[Unit Cost]])</f>
        <v>200</v>
      </c>
    </row>
    <row r="184" spans="1:13">
      <c r="A184" t="s">
        <v>238</v>
      </c>
      <c r="B184" s="1">
        <v>45777</v>
      </c>
      <c r="C184" t="s">
        <v>41</v>
      </c>
      <c r="D184" t="s">
        <v>8</v>
      </c>
      <c r="E184">
        <v>9</v>
      </c>
      <c r="F184" t="str">
        <f>_xlfn.XLOOKUP(tblAnalysis[[#This Row],[Product ID]], tblProducts[Product ID], tblProducts[Product Name])</f>
        <v>Mouse</v>
      </c>
      <c r="G184" t="str">
        <f>_xlfn.XLOOKUP(tblAnalysis[[#This Row],[Product ID]], tblProducts[Product ID], tblProducts[Category])</f>
        <v>Electronics</v>
      </c>
      <c r="H184" s="22">
        <f>_xlfn.XLOOKUP(tblAnalysis[[#This Row],[Product ID]], tblProducts[Product ID], tblProducts[Unit Price])</f>
        <v>25</v>
      </c>
      <c r="I184" s="22">
        <f>_xlfn.XLOOKUP(tblAnalysis[[#This Row],[Product ID]], tblProducts[Product ID], tblProducts[Unit Cost])</f>
        <v>12</v>
      </c>
      <c r="J184" t="str">
        <f>_xlfn.XLOOKUP(tblAnalysis[[#This Row],[Rep ID]], tblReps[Rep ID], tblReps[Sales Rep])</f>
        <v>Sarah</v>
      </c>
      <c r="K184" t="str">
        <f>_xlfn.XLOOKUP(tblAnalysis[[#This Row],[Rep ID]], tblReps[Rep ID], tblReps[Region])</f>
        <v>Chicago</v>
      </c>
      <c r="L184" s="22">
        <f>tblAnalysis[[#This Row],[Quantity]]*tblAnalysis[[#This Row],[Unit Price]]</f>
        <v>225</v>
      </c>
      <c r="M184" s="22">
        <f>tblAnalysis[[#This Row],[Quantity]]*(tblAnalysis[[#This Row],[Unit Price]]-tblAnalysis[[#This Row],[Unit Cost]])</f>
        <v>117</v>
      </c>
    </row>
    <row r="185" spans="1:13">
      <c r="A185" t="s">
        <v>239</v>
      </c>
      <c r="B185" s="1">
        <v>45777</v>
      </c>
      <c r="C185" t="s">
        <v>33</v>
      </c>
      <c r="D185" t="s">
        <v>21</v>
      </c>
      <c r="E185">
        <v>9</v>
      </c>
      <c r="F185" t="str">
        <f>_xlfn.XLOOKUP(tblAnalysis[[#This Row],[Product ID]], tblProducts[Product ID], tblProducts[Product Name])</f>
        <v>T-Shirt</v>
      </c>
      <c r="G185" t="str">
        <f>_xlfn.XLOOKUP(tblAnalysis[[#This Row],[Product ID]], tblProducts[Product ID], tblProducts[Category])</f>
        <v>Fashion</v>
      </c>
      <c r="H185" s="22">
        <f>_xlfn.XLOOKUP(tblAnalysis[[#This Row],[Product ID]], tblProducts[Product ID], tblProducts[Unit Price])</f>
        <v>20</v>
      </c>
      <c r="I185" s="22">
        <f>_xlfn.XLOOKUP(tblAnalysis[[#This Row],[Product ID]], tblProducts[Product ID], tblProducts[Unit Cost])</f>
        <v>8</v>
      </c>
      <c r="J185" t="str">
        <f>_xlfn.XLOOKUP(tblAnalysis[[#This Row],[Rep ID]], tblReps[Rep ID], tblReps[Sales Rep])</f>
        <v>John</v>
      </c>
      <c r="K185" t="str">
        <f>_xlfn.XLOOKUP(tblAnalysis[[#This Row],[Rep ID]], tblReps[Rep ID], tblReps[Region])</f>
        <v>New York</v>
      </c>
      <c r="L185" s="22">
        <f>tblAnalysis[[#This Row],[Quantity]]*tblAnalysis[[#This Row],[Unit Price]]</f>
        <v>180</v>
      </c>
      <c r="M185" s="22">
        <f>tblAnalysis[[#This Row],[Quantity]]*(tblAnalysis[[#This Row],[Unit Price]]-tblAnalysis[[#This Row],[Unit Cost]])</f>
        <v>108</v>
      </c>
    </row>
    <row r="186" spans="1:13">
      <c r="A186" t="s">
        <v>240</v>
      </c>
      <c r="B186" s="1">
        <v>45778</v>
      </c>
      <c r="C186" t="s">
        <v>41</v>
      </c>
      <c r="D186" t="s">
        <v>21</v>
      </c>
      <c r="E186">
        <v>3</v>
      </c>
      <c r="F186" t="str">
        <f>_xlfn.XLOOKUP(tblAnalysis[[#This Row],[Product ID]], tblProducts[Product ID], tblProducts[Product Name])</f>
        <v>T-Shirt</v>
      </c>
      <c r="G186" t="str">
        <f>_xlfn.XLOOKUP(tblAnalysis[[#This Row],[Product ID]], tblProducts[Product ID], tblProducts[Category])</f>
        <v>Fashion</v>
      </c>
      <c r="H186" s="22">
        <f>_xlfn.XLOOKUP(tblAnalysis[[#This Row],[Product ID]], tblProducts[Product ID], tblProducts[Unit Price])</f>
        <v>20</v>
      </c>
      <c r="I186" s="22">
        <f>_xlfn.XLOOKUP(tblAnalysis[[#This Row],[Product ID]], tblProducts[Product ID], tblProducts[Unit Cost])</f>
        <v>8</v>
      </c>
      <c r="J186" t="str">
        <f>_xlfn.XLOOKUP(tblAnalysis[[#This Row],[Rep ID]], tblReps[Rep ID], tblReps[Sales Rep])</f>
        <v>Sarah</v>
      </c>
      <c r="K186" t="str">
        <f>_xlfn.XLOOKUP(tblAnalysis[[#This Row],[Rep ID]], tblReps[Rep ID], tblReps[Region])</f>
        <v>Chicago</v>
      </c>
      <c r="L186" s="22">
        <f>tblAnalysis[[#This Row],[Quantity]]*tblAnalysis[[#This Row],[Unit Price]]</f>
        <v>60</v>
      </c>
      <c r="M186" s="22">
        <f>tblAnalysis[[#This Row],[Quantity]]*(tblAnalysis[[#This Row],[Unit Price]]-tblAnalysis[[#This Row],[Unit Cost]])</f>
        <v>36</v>
      </c>
    </row>
    <row r="187" spans="1:13">
      <c r="A187" t="s">
        <v>241</v>
      </c>
      <c r="B187" s="1">
        <v>45779</v>
      </c>
      <c r="C187" t="s">
        <v>45</v>
      </c>
      <c r="D187" t="s">
        <v>26</v>
      </c>
      <c r="E187">
        <v>7</v>
      </c>
      <c r="F187" t="str">
        <f>_xlfn.XLOOKUP(tblAnalysis[[#This Row],[Product ID]], tblProducts[Product ID], tblProducts[Product Name])</f>
        <v>Shoes</v>
      </c>
      <c r="G187" t="str">
        <f>_xlfn.XLOOKUP(tblAnalysis[[#This Row],[Product ID]], tblProducts[Product ID], tblProducts[Category])</f>
        <v>Fashion</v>
      </c>
      <c r="H187" s="22">
        <f>_xlfn.XLOOKUP(tblAnalysis[[#This Row],[Product ID]], tblProducts[Product ID], tblProducts[Unit Price])</f>
        <v>75</v>
      </c>
      <c r="I187" s="22">
        <f>_xlfn.XLOOKUP(tblAnalysis[[#This Row],[Product ID]], tblProducts[Product ID], tblProducts[Unit Cost])</f>
        <v>40</v>
      </c>
      <c r="J187" t="str">
        <f>_xlfn.XLOOKUP(tblAnalysis[[#This Row],[Rep ID]], tblReps[Rep ID], tblReps[Sales Rep])</f>
        <v>David</v>
      </c>
      <c r="K187" t="str">
        <f>_xlfn.XLOOKUP(tblAnalysis[[#This Row],[Rep ID]], tblReps[Rep ID], tblReps[Region])</f>
        <v>Houston</v>
      </c>
      <c r="L187" s="22">
        <f>tblAnalysis[[#This Row],[Quantity]]*tblAnalysis[[#This Row],[Unit Price]]</f>
        <v>525</v>
      </c>
      <c r="M187" s="22">
        <f>tblAnalysis[[#This Row],[Quantity]]*(tblAnalysis[[#This Row],[Unit Price]]-tblAnalysis[[#This Row],[Unit Cost]])</f>
        <v>245</v>
      </c>
    </row>
    <row r="188" spans="1:13">
      <c r="A188" t="s">
        <v>242</v>
      </c>
      <c r="B188" s="1">
        <v>45779</v>
      </c>
      <c r="C188" t="s">
        <v>45</v>
      </c>
      <c r="D188" t="s">
        <v>10</v>
      </c>
      <c r="E188">
        <v>6</v>
      </c>
      <c r="F188" t="str">
        <f>_xlfn.XLOOKUP(tblAnalysis[[#This Row],[Product ID]], tblProducts[Product ID], tblProducts[Product Name])</f>
        <v>Keyboard</v>
      </c>
      <c r="G188" t="str">
        <f>_xlfn.XLOOKUP(tblAnalysis[[#This Row],[Product ID]], tblProducts[Product ID], tblProducts[Category])</f>
        <v>Electronics</v>
      </c>
      <c r="H188" s="22">
        <f>_xlfn.XLOOKUP(tblAnalysis[[#This Row],[Product ID]], tblProducts[Product ID], tblProducts[Unit Price])</f>
        <v>40</v>
      </c>
      <c r="I188" s="22">
        <f>_xlfn.XLOOKUP(tblAnalysis[[#This Row],[Product ID]], tblProducts[Product ID], tblProducts[Unit Cost])</f>
        <v>22</v>
      </c>
      <c r="J188" t="str">
        <f>_xlfn.XLOOKUP(tblAnalysis[[#This Row],[Rep ID]], tblReps[Rep ID], tblReps[Sales Rep])</f>
        <v>David</v>
      </c>
      <c r="K188" t="str">
        <f>_xlfn.XLOOKUP(tblAnalysis[[#This Row],[Rep ID]], tblReps[Rep ID], tblReps[Region])</f>
        <v>Houston</v>
      </c>
      <c r="L188" s="22">
        <f>tblAnalysis[[#This Row],[Quantity]]*tblAnalysis[[#This Row],[Unit Price]]</f>
        <v>240</v>
      </c>
      <c r="M188" s="22">
        <f>tblAnalysis[[#This Row],[Quantity]]*(tblAnalysis[[#This Row],[Unit Price]]-tblAnalysis[[#This Row],[Unit Cost]])</f>
        <v>108</v>
      </c>
    </row>
    <row r="189" spans="1:13">
      <c r="A189" t="s">
        <v>243</v>
      </c>
      <c r="B189" s="1">
        <v>45779</v>
      </c>
      <c r="C189" t="s">
        <v>33</v>
      </c>
      <c r="D189" t="s">
        <v>24</v>
      </c>
      <c r="E189">
        <v>10</v>
      </c>
      <c r="F189" t="str">
        <f>_xlfn.XLOOKUP(tblAnalysis[[#This Row],[Product ID]], tblProducts[Product ID], tblProducts[Product Name])</f>
        <v>Pants</v>
      </c>
      <c r="G189" t="str">
        <f>_xlfn.XLOOKUP(tblAnalysis[[#This Row],[Product ID]], tblProducts[Product ID], tblProducts[Category])</f>
        <v>Fashion</v>
      </c>
      <c r="H189" s="22">
        <f>_xlfn.XLOOKUP(tblAnalysis[[#This Row],[Product ID]], tblProducts[Product ID], tblProducts[Unit Price])</f>
        <v>40</v>
      </c>
      <c r="I189" s="22">
        <f>_xlfn.XLOOKUP(tblAnalysis[[#This Row],[Product ID]], tblProducts[Product ID], tblProducts[Unit Cost])</f>
        <v>18</v>
      </c>
      <c r="J189" t="str">
        <f>_xlfn.XLOOKUP(tblAnalysis[[#This Row],[Rep ID]], tblReps[Rep ID], tblReps[Sales Rep])</f>
        <v>John</v>
      </c>
      <c r="K189" t="str">
        <f>_xlfn.XLOOKUP(tblAnalysis[[#This Row],[Rep ID]], tblReps[Rep ID], tblReps[Region])</f>
        <v>New York</v>
      </c>
      <c r="L189" s="22">
        <f>tblAnalysis[[#This Row],[Quantity]]*tblAnalysis[[#This Row],[Unit Price]]</f>
        <v>400</v>
      </c>
      <c r="M189" s="22">
        <f>tblAnalysis[[#This Row],[Quantity]]*(tblAnalysis[[#This Row],[Unit Price]]-tblAnalysis[[#This Row],[Unit Cost]])</f>
        <v>220</v>
      </c>
    </row>
    <row r="190" spans="1:13">
      <c r="A190" t="s">
        <v>244</v>
      </c>
      <c r="B190" s="1">
        <v>45780</v>
      </c>
      <c r="C190" t="s">
        <v>45</v>
      </c>
      <c r="D190" t="s">
        <v>17</v>
      </c>
      <c r="E190">
        <v>1</v>
      </c>
      <c r="F190" t="str">
        <f>_xlfn.XLOOKUP(tblAnalysis[[#This Row],[Product ID]], tblProducts[Product ID], tblProducts[Product Name])</f>
        <v>Iron</v>
      </c>
      <c r="G190" t="str">
        <f>_xlfn.XLOOKUP(tblAnalysis[[#This Row],[Product ID]], tblProducts[Product ID], tblProducts[Category])</f>
        <v>Home &amp; Living</v>
      </c>
      <c r="H190" s="22">
        <f>_xlfn.XLOOKUP(tblAnalysis[[#This Row],[Product ID]], tblProducts[Product ID], tblProducts[Unit Price])</f>
        <v>35</v>
      </c>
      <c r="I190" s="22">
        <f>_xlfn.XLOOKUP(tblAnalysis[[#This Row],[Product ID]], tblProducts[Product ID], tblProducts[Unit Cost])</f>
        <v>20</v>
      </c>
      <c r="J190" t="str">
        <f>_xlfn.XLOOKUP(tblAnalysis[[#This Row],[Rep ID]], tblReps[Rep ID], tblReps[Sales Rep])</f>
        <v>David</v>
      </c>
      <c r="K190" t="str">
        <f>_xlfn.XLOOKUP(tblAnalysis[[#This Row],[Rep ID]], tblReps[Rep ID], tblReps[Region])</f>
        <v>Houston</v>
      </c>
      <c r="L190" s="22">
        <f>tblAnalysis[[#This Row],[Quantity]]*tblAnalysis[[#This Row],[Unit Price]]</f>
        <v>35</v>
      </c>
      <c r="M190" s="22">
        <f>tblAnalysis[[#This Row],[Quantity]]*(tblAnalysis[[#This Row],[Unit Price]]-tblAnalysis[[#This Row],[Unit Cost]])</f>
        <v>15</v>
      </c>
    </row>
    <row r="191" spans="1:13">
      <c r="A191" t="s">
        <v>245</v>
      </c>
      <c r="B191" s="1">
        <v>45781</v>
      </c>
      <c r="C191" t="s">
        <v>37</v>
      </c>
      <c r="D191" t="s">
        <v>14</v>
      </c>
      <c r="E191">
        <v>1</v>
      </c>
      <c r="F191" t="str">
        <f>_xlfn.XLOOKUP(tblAnalysis[[#This Row],[Product ID]], tblProducts[Product ID], tblProducts[Product Name])</f>
        <v>Blender</v>
      </c>
      <c r="G191" t="str">
        <f>_xlfn.XLOOKUP(tblAnalysis[[#This Row],[Product ID]], tblProducts[Product ID], tblProducts[Category])</f>
        <v>Home &amp; Living</v>
      </c>
      <c r="H191" s="22">
        <f>_xlfn.XLOOKUP(tblAnalysis[[#This Row],[Product ID]], tblProducts[Product ID], tblProducts[Unit Price])</f>
        <v>50</v>
      </c>
      <c r="I191" s="22">
        <f>_xlfn.XLOOKUP(tblAnalysis[[#This Row],[Product ID]], tblProducts[Product ID], tblProducts[Unit Cost])</f>
        <v>30</v>
      </c>
      <c r="J191" t="str">
        <f>_xlfn.XLOOKUP(tblAnalysis[[#This Row],[Rep ID]], tblReps[Rep ID], tblReps[Sales Rep])</f>
        <v>Mike</v>
      </c>
      <c r="K191" t="str">
        <f>_xlfn.XLOOKUP(tblAnalysis[[#This Row],[Rep ID]], tblReps[Rep ID], tblReps[Region])</f>
        <v>Los Angeles</v>
      </c>
      <c r="L191" s="22">
        <f>tblAnalysis[[#This Row],[Quantity]]*tblAnalysis[[#This Row],[Unit Price]]</f>
        <v>50</v>
      </c>
      <c r="M191" s="22">
        <f>tblAnalysis[[#This Row],[Quantity]]*(tblAnalysis[[#This Row],[Unit Price]]-tblAnalysis[[#This Row],[Unit Cost]])</f>
        <v>20</v>
      </c>
    </row>
    <row r="192" spans="1:13">
      <c r="A192" t="s">
        <v>246</v>
      </c>
      <c r="B192" s="1">
        <v>45781</v>
      </c>
      <c r="C192" t="s">
        <v>49</v>
      </c>
      <c r="D192" t="s">
        <v>24</v>
      </c>
      <c r="E192">
        <v>9</v>
      </c>
      <c r="F192" t="str">
        <f>_xlfn.XLOOKUP(tblAnalysis[[#This Row],[Product ID]], tblProducts[Product ID], tblProducts[Product Name])</f>
        <v>Pants</v>
      </c>
      <c r="G192" t="str">
        <f>_xlfn.XLOOKUP(tblAnalysis[[#This Row],[Product ID]], tblProducts[Product ID], tblProducts[Category])</f>
        <v>Fashion</v>
      </c>
      <c r="H192" s="22">
        <f>_xlfn.XLOOKUP(tblAnalysis[[#This Row],[Product ID]], tblProducts[Product ID], tblProducts[Unit Price])</f>
        <v>40</v>
      </c>
      <c r="I192" s="22">
        <f>_xlfn.XLOOKUP(tblAnalysis[[#This Row],[Product ID]], tblProducts[Product ID], tblProducts[Unit Cost])</f>
        <v>18</v>
      </c>
      <c r="J192" t="str">
        <f>_xlfn.XLOOKUP(tblAnalysis[[#This Row],[Rep ID]], tblReps[Rep ID], tblReps[Sales Rep])</f>
        <v>Emma</v>
      </c>
      <c r="K192" t="str">
        <f>_xlfn.XLOOKUP(tblAnalysis[[#This Row],[Rep ID]], tblReps[Rep ID], tblReps[Region])</f>
        <v>Miami</v>
      </c>
      <c r="L192" s="22">
        <f>tblAnalysis[[#This Row],[Quantity]]*tblAnalysis[[#This Row],[Unit Price]]</f>
        <v>360</v>
      </c>
      <c r="M192" s="22">
        <f>tblAnalysis[[#This Row],[Quantity]]*(tblAnalysis[[#This Row],[Unit Price]]-tblAnalysis[[#This Row],[Unit Cost]])</f>
        <v>198</v>
      </c>
    </row>
    <row r="193" spans="1:13">
      <c r="A193" t="s">
        <v>247</v>
      </c>
      <c r="B193" s="1">
        <v>45782</v>
      </c>
      <c r="C193" t="s">
        <v>45</v>
      </c>
      <c r="D193" t="s">
        <v>21</v>
      </c>
      <c r="E193">
        <v>7</v>
      </c>
      <c r="F193" t="str">
        <f>_xlfn.XLOOKUP(tblAnalysis[[#This Row],[Product ID]], tblProducts[Product ID], tblProducts[Product Name])</f>
        <v>T-Shirt</v>
      </c>
      <c r="G193" t="str">
        <f>_xlfn.XLOOKUP(tblAnalysis[[#This Row],[Product ID]], tblProducts[Product ID], tblProducts[Category])</f>
        <v>Fashion</v>
      </c>
      <c r="H193" s="22">
        <f>_xlfn.XLOOKUP(tblAnalysis[[#This Row],[Product ID]], tblProducts[Product ID], tblProducts[Unit Price])</f>
        <v>20</v>
      </c>
      <c r="I193" s="22">
        <f>_xlfn.XLOOKUP(tblAnalysis[[#This Row],[Product ID]], tblProducts[Product ID], tblProducts[Unit Cost])</f>
        <v>8</v>
      </c>
      <c r="J193" t="str">
        <f>_xlfn.XLOOKUP(tblAnalysis[[#This Row],[Rep ID]], tblReps[Rep ID], tblReps[Sales Rep])</f>
        <v>David</v>
      </c>
      <c r="K193" t="str">
        <f>_xlfn.XLOOKUP(tblAnalysis[[#This Row],[Rep ID]], tblReps[Rep ID], tblReps[Region])</f>
        <v>Houston</v>
      </c>
      <c r="L193" s="22">
        <f>tblAnalysis[[#This Row],[Quantity]]*tblAnalysis[[#This Row],[Unit Price]]</f>
        <v>140</v>
      </c>
      <c r="M193" s="22">
        <f>tblAnalysis[[#This Row],[Quantity]]*(tblAnalysis[[#This Row],[Unit Price]]-tblAnalysis[[#This Row],[Unit Cost]])</f>
        <v>84</v>
      </c>
    </row>
    <row r="194" spans="1:13">
      <c r="A194" t="s">
        <v>248</v>
      </c>
      <c r="B194" s="1">
        <v>45783</v>
      </c>
      <c r="C194" t="s">
        <v>49</v>
      </c>
      <c r="D194" t="s">
        <v>17</v>
      </c>
      <c r="E194">
        <v>2</v>
      </c>
      <c r="F194" t="str">
        <f>_xlfn.XLOOKUP(tblAnalysis[[#This Row],[Product ID]], tblProducts[Product ID], tblProducts[Product Name])</f>
        <v>Iron</v>
      </c>
      <c r="G194" t="str">
        <f>_xlfn.XLOOKUP(tblAnalysis[[#This Row],[Product ID]], tblProducts[Product ID], tblProducts[Category])</f>
        <v>Home &amp; Living</v>
      </c>
      <c r="H194" s="22">
        <f>_xlfn.XLOOKUP(tblAnalysis[[#This Row],[Product ID]], tblProducts[Product ID], tblProducts[Unit Price])</f>
        <v>35</v>
      </c>
      <c r="I194" s="22">
        <f>_xlfn.XLOOKUP(tblAnalysis[[#This Row],[Product ID]], tblProducts[Product ID], tblProducts[Unit Cost])</f>
        <v>20</v>
      </c>
      <c r="J194" t="str">
        <f>_xlfn.XLOOKUP(tblAnalysis[[#This Row],[Rep ID]], tblReps[Rep ID], tblReps[Sales Rep])</f>
        <v>Emma</v>
      </c>
      <c r="K194" t="str">
        <f>_xlfn.XLOOKUP(tblAnalysis[[#This Row],[Rep ID]], tblReps[Rep ID], tblReps[Region])</f>
        <v>Miami</v>
      </c>
      <c r="L194" s="22">
        <f>tblAnalysis[[#This Row],[Quantity]]*tblAnalysis[[#This Row],[Unit Price]]</f>
        <v>70</v>
      </c>
      <c r="M194" s="22">
        <f>tblAnalysis[[#This Row],[Quantity]]*(tblAnalysis[[#This Row],[Unit Price]]-tblAnalysis[[#This Row],[Unit Cost]])</f>
        <v>30</v>
      </c>
    </row>
    <row r="195" spans="1:13">
      <c r="A195" t="s">
        <v>249</v>
      </c>
      <c r="B195" s="1">
        <v>45783</v>
      </c>
      <c r="C195" t="s">
        <v>37</v>
      </c>
      <c r="D195" t="s">
        <v>8</v>
      </c>
      <c r="E195">
        <v>9</v>
      </c>
      <c r="F195" t="str">
        <f>_xlfn.XLOOKUP(tblAnalysis[[#This Row],[Product ID]], tblProducts[Product ID], tblProducts[Product Name])</f>
        <v>Mouse</v>
      </c>
      <c r="G195" t="str">
        <f>_xlfn.XLOOKUP(tblAnalysis[[#This Row],[Product ID]], tblProducts[Product ID], tblProducts[Category])</f>
        <v>Electronics</v>
      </c>
      <c r="H195" s="22">
        <f>_xlfn.XLOOKUP(tblAnalysis[[#This Row],[Product ID]], tblProducts[Product ID], tblProducts[Unit Price])</f>
        <v>25</v>
      </c>
      <c r="I195" s="22">
        <f>_xlfn.XLOOKUP(tblAnalysis[[#This Row],[Product ID]], tblProducts[Product ID], tblProducts[Unit Cost])</f>
        <v>12</v>
      </c>
      <c r="J195" t="str">
        <f>_xlfn.XLOOKUP(tblAnalysis[[#This Row],[Rep ID]], tblReps[Rep ID], tblReps[Sales Rep])</f>
        <v>Mike</v>
      </c>
      <c r="K195" t="str">
        <f>_xlfn.XLOOKUP(tblAnalysis[[#This Row],[Rep ID]], tblReps[Rep ID], tblReps[Region])</f>
        <v>Los Angeles</v>
      </c>
      <c r="L195" s="22">
        <f>tblAnalysis[[#This Row],[Quantity]]*tblAnalysis[[#This Row],[Unit Price]]</f>
        <v>225</v>
      </c>
      <c r="M195" s="22">
        <f>tblAnalysis[[#This Row],[Quantity]]*(tblAnalysis[[#This Row],[Unit Price]]-tblAnalysis[[#This Row],[Unit Cost]])</f>
        <v>117</v>
      </c>
    </row>
    <row r="196" spans="1:13">
      <c r="A196" t="s">
        <v>250</v>
      </c>
      <c r="B196" s="1">
        <v>45784</v>
      </c>
      <c r="C196" t="s">
        <v>37</v>
      </c>
      <c r="D196" t="s">
        <v>24</v>
      </c>
      <c r="E196">
        <v>7</v>
      </c>
      <c r="F196" t="str">
        <f>_xlfn.XLOOKUP(tblAnalysis[[#This Row],[Product ID]], tblProducts[Product ID], tblProducts[Product Name])</f>
        <v>Pants</v>
      </c>
      <c r="G196" t="str">
        <f>_xlfn.XLOOKUP(tblAnalysis[[#This Row],[Product ID]], tblProducts[Product ID], tblProducts[Category])</f>
        <v>Fashion</v>
      </c>
      <c r="H196" s="22">
        <f>_xlfn.XLOOKUP(tblAnalysis[[#This Row],[Product ID]], tblProducts[Product ID], tblProducts[Unit Price])</f>
        <v>40</v>
      </c>
      <c r="I196" s="22">
        <f>_xlfn.XLOOKUP(tblAnalysis[[#This Row],[Product ID]], tblProducts[Product ID], tblProducts[Unit Cost])</f>
        <v>18</v>
      </c>
      <c r="J196" t="str">
        <f>_xlfn.XLOOKUP(tblAnalysis[[#This Row],[Rep ID]], tblReps[Rep ID], tblReps[Sales Rep])</f>
        <v>Mike</v>
      </c>
      <c r="K196" t="str">
        <f>_xlfn.XLOOKUP(tblAnalysis[[#This Row],[Rep ID]], tblReps[Rep ID], tblReps[Region])</f>
        <v>Los Angeles</v>
      </c>
      <c r="L196" s="22">
        <f>tblAnalysis[[#This Row],[Quantity]]*tblAnalysis[[#This Row],[Unit Price]]</f>
        <v>280</v>
      </c>
      <c r="M196" s="22">
        <f>tblAnalysis[[#This Row],[Quantity]]*(tblAnalysis[[#This Row],[Unit Price]]-tblAnalysis[[#This Row],[Unit Cost]])</f>
        <v>154</v>
      </c>
    </row>
    <row r="197" spans="1:13">
      <c r="A197" t="s">
        <v>251</v>
      </c>
      <c r="B197" s="1">
        <v>45784</v>
      </c>
      <c r="C197" t="s">
        <v>41</v>
      </c>
      <c r="D197" t="s">
        <v>10</v>
      </c>
      <c r="E197">
        <v>6</v>
      </c>
      <c r="F197" t="str">
        <f>_xlfn.XLOOKUP(tblAnalysis[[#This Row],[Product ID]], tblProducts[Product ID], tblProducts[Product Name])</f>
        <v>Keyboard</v>
      </c>
      <c r="G197" t="str">
        <f>_xlfn.XLOOKUP(tblAnalysis[[#This Row],[Product ID]], tblProducts[Product ID], tblProducts[Category])</f>
        <v>Electronics</v>
      </c>
      <c r="H197" s="22">
        <f>_xlfn.XLOOKUP(tblAnalysis[[#This Row],[Product ID]], tblProducts[Product ID], tblProducts[Unit Price])</f>
        <v>40</v>
      </c>
      <c r="I197" s="22">
        <f>_xlfn.XLOOKUP(tblAnalysis[[#This Row],[Product ID]], tblProducts[Product ID], tblProducts[Unit Cost])</f>
        <v>22</v>
      </c>
      <c r="J197" t="str">
        <f>_xlfn.XLOOKUP(tblAnalysis[[#This Row],[Rep ID]], tblReps[Rep ID], tblReps[Sales Rep])</f>
        <v>Sarah</v>
      </c>
      <c r="K197" t="str">
        <f>_xlfn.XLOOKUP(tblAnalysis[[#This Row],[Rep ID]], tblReps[Rep ID], tblReps[Region])</f>
        <v>Chicago</v>
      </c>
      <c r="L197" s="22">
        <f>tblAnalysis[[#This Row],[Quantity]]*tblAnalysis[[#This Row],[Unit Price]]</f>
        <v>240</v>
      </c>
      <c r="M197" s="22">
        <f>tblAnalysis[[#This Row],[Quantity]]*(tblAnalysis[[#This Row],[Unit Price]]-tblAnalysis[[#This Row],[Unit Cost]])</f>
        <v>108</v>
      </c>
    </row>
    <row r="198" spans="1:13">
      <c r="A198" t="s">
        <v>252</v>
      </c>
      <c r="B198" s="1">
        <v>45785</v>
      </c>
      <c r="C198" t="s">
        <v>45</v>
      </c>
      <c r="D198" t="s">
        <v>8</v>
      </c>
      <c r="E198">
        <v>5</v>
      </c>
      <c r="F198" t="str">
        <f>_xlfn.XLOOKUP(tblAnalysis[[#This Row],[Product ID]], tblProducts[Product ID], tblProducts[Product Name])</f>
        <v>Mouse</v>
      </c>
      <c r="G198" t="str">
        <f>_xlfn.XLOOKUP(tblAnalysis[[#This Row],[Product ID]], tblProducts[Product ID], tblProducts[Category])</f>
        <v>Electronics</v>
      </c>
      <c r="H198" s="22">
        <f>_xlfn.XLOOKUP(tblAnalysis[[#This Row],[Product ID]], tblProducts[Product ID], tblProducts[Unit Price])</f>
        <v>25</v>
      </c>
      <c r="I198" s="22">
        <f>_xlfn.XLOOKUP(tblAnalysis[[#This Row],[Product ID]], tblProducts[Product ID], tblProducts[Unit Cost])</f>
        <v>12</v>
      </c>
      <c r="J198" t="str">
        <f>_xlfn.XLOOKUP(tblAnalysis[[#This Row],[Rep ID]], tblReps[Rep ID], tblReps[Sales Rep])</f>
        <v>David</v>
      </c>
      <c r="K198" t="str">
        <f>_xlfn.XLOOKUP(tblAnalysis[[#This Row],[Rep ID]], tblReps[Rep ID], tblReps[Region])</f>
        <v>Houston</v>
      </c>
      <c r="L198" s="22">
        <f>tblAnalysis[[#This Row],[Quantity]]*tblAnalysis[[#This Row],[Unit Price]]</f>
        <v>125</v>
      </c>
      <c r="M198" s="22">
        <f>tblAnalysis[[#This Row],[Quantity]]*(tblAnalysis[[#This Row],[Unit Price]]-tblAnalysis[[#This Row],[Unit Cost]])</f>
        <v>65</v>
      </c>
    </row>
    <row r="199" spans="1:13">
      <c r="A199" t="s">
        <v>253</v>
      </c>
      <c r="B199" s="1">
        <v>45785</v>
      </c>
      <c r="C199" t="s">
        <v>41</v>
      </c>
      <c r="D199" t="s">
        <v>24</v>
      </c>
      <c r="E199">
        <v>1</v>
      </c>
      <c r="F199" t="str">
        <f>_xlfn.XLOOKUP(tblAnalysis[[#This Row],[Product ID]], tblProducts[Product ID], tblProducts[Product Name])</f>
        <v>Pants</v>
      </c>
      <c r="G199" t="str">
        <f>_xlfn.XLOOKUP(tblAnalysis[[#This Row],[Product ID]], tblProducts[Product ID], tblProducts[Category])</f>
        <v>Fashion</v>
      </c>
      <c r="H199" s="22">
        <f>_xlfn.XLOOKUP(tblAnalysis[[#This Row],[Product ID]], tblProducts[Product ID], tblProducts[Unit Price])</f>
        <v>40</v>
      </c>
      <c r="I199" s="22">
        <f>_xlfn.XLOOKUP(tblAnalysis[[#This Row],[Product ID]], tblProducts[Product ID], tblProducts[Unit Cost])</f>
        <v>18</v>
      </c>
      <c r="J199" t="str">
        <f>_xlfn.XLOOKUP(tblAnalysis[[#This Row],[Rep ID]], tblReps[Rep ID], tblReps[Sales Rep])</f>
        <v>Sarah</v>
      </c>
      <c r="K199" t="str">
        <f>_xlfn.XLOOKUP(tblAnalysis[[#This Row],[Rep ID]], tblReps[Rep ID], tblReps[Region])</f>
        <v>Chicago</v>
      </c>
      <c r="L199" s="22">
        <f>tblAnalysis[[#This Row],[Quantity]]*tblAnalysis[[#This Row],[Unit Price]]</f>
        <v>40</v>
      </c>
      <c r="M199" s="22">
        <f>tblAnalysis[[#This Row],[Quantity]]*(tblAnalysis[[#This Row],[Unit Price]]-tblAnalysis[[#This Row],[Unit Cost]])</f>
        <v>22</v>
      </c>
    </row>
    <row r="200" spans="1:13">
      <c r="A200" t="s">
        <v>254</v>
      </c>
      <c r="B200" s="1">
        <v>45785</v>
      </c>
      <c r="C200" t="s">
        <v>41</v>
      </c>
      <c r="D200" t="s">
        <v>21</v>
      </c>
      <c r="E200">
        <v>1</v>
      </c>
      <c r="F200" t="str">
        <f>_xlfn.XLOOKUP(tblAnalysis[[#This Row],[Product ID]], tblProducts[Product ID], tblProducts[Product Name])</f>
        <v>T-Shirt</v>
      </c>
      <c r="G200" t="str">
        <f>_xlfn.XLOOKUP(tblAnalysis[[#This Row],[Product ID]], tblProducts[Product ID], tblProducts[Category])</f>
        <v>Fashion</v>
      </c>
      <c r="H200" s="22">
        <f>_xlfn.XLOOKUP(tblAnalysis[[#This Row],[Product ID]], tblProducts[Product ID], tblProducts[Unit Price])</f>
        <v>20</v>
      </c>
      <c r="I200" s="22">
        <f>_xlfn.XLOOKUP(tblAnalysis[[#This Row],[Product ID]], tblProducts[Product ID], tblProducts[Unit Cost])</f>
        <v>8</v>
      </c>
      <c r="J200" t="str">
        <f>_xlfn.XLOOKUP(tblAnalysis[[#This Row],[Rep ID]], tblReps[Rep ID], tblReps[Sales Rep])</f>
        <v>Sarah</v>
      </c>
      <c r="K200" t="str">
        <f>_xlfn.XLOOKUP(tblAnalysis[[#This Row],[Rep ID]], tblReps[Rep ID], tblReps[Region])</f>
        <v>Chicago</v>
      </c>
      <c r="L200" s="22">
        <f>tblAnalysis[[#This Row],[Quantity]]*tblAnalysis[[#This Row],[Unit Price]]</f>
        <v>20</v>
      </c>
      <c r="M200" s="22">
        <f>tblAnalysis[[#This Row],[Quantity]]*(tblAnalysis[[#This Row],[Unit Price]]-tblAnalysis[[#This Row],[Unit Cost]])</f>
        <v>12</v>
      </c>
    </row>
    <row r="201" spans="1:13">
      <c r="A201" t="s">
        <v>255</v>
      </c>
      <c r="B201" s="1">
        <v>45785</v>
      </c>
      <c r="C201" t="s">
        <v>45</v>
      </c>
      <c r="D201" t="s">
        <v>26</v>
      </c>
      <c r="E201">
        <v>9</v>
      </c>
      <c r="F201" t="str">
        <f>_xlfn.XLOOKUP(tblAnalysis[[#This Row],[Product ID]], tblProducts[Product ID], tblProducts[Product Name])</f>
        <v>Shoes</v>
      </c>
      <c r="G201" t="str">
        <f>_xlfn.XLOOKUP(tblAnalysis[[#This Row],[Product ID]], tblProducts[Product ID], tblProducts[Category])</f>
        <v>Fashion</v>
      </c>
      <c r="H201" s="22">
        <f>_xlfn.XLOOKUP(tblAnalysis[[#This Row],[Product ID]], tblProducts[Product ID], tblProducts[Unit Price])</f>
        <v>75</v>
      </c>
      <c r="I201" s="22">
        <f>_xlfn.XLOOKUP(tblAnalysis[[#This Row],[Product ID]], tblProducts[Product ID], tblProducts[Unit Cost])</f>
        <v>40</v>
      </c>
      <c r="J201" t="str">
        <f>_xlfn.XLOOKUP(tblAnalysis[[#This Row],[Rep ID]], tblReps[Rep ID], tblReps[Sales Rep])</f>
        <v>David</v>
      </c>
      <c r="K201" t="str">
        <f>_xlfn.XLOOKUP(tblAnalysis[[#This Row],[Rep ID]], tblReps[Rep ID], tblReps[Region])</f>
        <v>Houston</v>
      </c>
      <c r="L201" s="22">
        <f>tblAnalysis[[#This Row],[Quantity]]*tblAnalysis[[#This Row],[Unit Price]]</f>
        <v>675</v>
      </c>
      <c r="M201" s="22">
        <f>tblAnalysis[[#This Row],[Quantity]]*(tblAnalysis[[#This Row],[Unit Price]]-tblAnalysis[[#This Row],[Unit Cost]])</f>
        <v>315</v>
      </c>
    </row>
    <row r="202" spans="1:13">
      <c r="A202" t="s">
        <v>256</v>
      </c>
      <c r="B202" s="1">
        <v>45786</v>
      </c>
      <c r="C202" t="s">
        <v>49</v>
      </c>
      <c r="D202" t="s">
        <v>19</v>
      </c>
      <c r="E202">
        <v>9</v>
      </c>
      <c r="F202" t="str">
        <f>_xlfn.XLOOKUP(tblAnalysis[[#This Row],[Product ID]], tblProducts[Product ID], tblProducts[Product Name])</f>
        <v>Fan</v>
      </c>
      <c r="G202" t="str">
        <f>_xlfn.XLOOKUP(tblAnalysis[[#This Row],[Product ID]], tblProducts[Product ID], tblProducts[Category])</f>
        <v>Home &amp; Living</v>
      </c>
      <c r="H202" s="22">
        <f>_xlfn.XLOOKUP(tblAnalysis[[#This Row],[Product ID]], tblProducts[Product ID], tblProducts[Unit Price])</f>
        <v>45</v>
      </c>
      <c r="I202" s="22">
        <f>_xlfn.XLOOKUP(tblAnalysis[[#This Row],[Product ID]], tblProducts[Product ID], tblProducts[Unit Cost])</f>
        <v>25</v>
      </c>
      <c r="J202" t="str">
        <f>_xlfn.XLOOKUP(tblAnalysis[[#This Row],[Rep ID]], tblReps[Rep ID], tblReps[Sales Rep])</f>
        <v>Emma</v>
      </c>
      <c r="K202" t="str">
        <f>_xlfn.XLOOKUP(tblAnalysis[[#This Row],[Rep ID]], tblReps[Rep ID], tblReps[Region])</f>
        <v>Miami</v>
      </c>
      <c r="L202" s="22">
        <f>tblAnalysis[[#This Row],[Quantity]]*tblAnalysis[[#This Row],[Unit Price]]</f>
        <v>405</v>
      </c>
      <c r="M202" s="22">
        <f>tblAnalysis[[#This Row],[Quantity]]*(tblAnalysis[[#This Row],[Unit Price]]-tblAnalysis[[#This Row],[Unit Cost]])</f>
        <v>180</v>
      </c>
    </row>
    <row r="203" spans="1:13">
      <c r="A203" t="s">
        <v>257</v>
      </c>
      <c r="B203" s="1">
        <v>45786</v>
      </c>
      <c r="C203" t="s">
        <v>41</v>
      </c>
      <c r="D203" t="s">
        <v>21</v>
      </c>
      <c r="E203">
        <v>5</v>
      </c>
      <c r="F203" t="str">
        <f>_xlfn.XLOOKUP(tblAnalysis[[#This Row],[Product ID]], tblProducts[Product ID], tblProducts[Product Name])</f>
        <v>T-Shirt</v>
      </c>
      <c r="G203" t="str">
        <f>_xlfn.XLOOKUP(tblAnalysis[[#This Row],[Product ID]], tblProducts[Product ID], tblProducts[Category])</f>
        <v>Fashion</v>
      </c>
      <c r="H203" s="22">
        <f>_xlfn.XLOOKUP(tblAnalysis[[#This Row],[Product ID]], tblProducts[Product ID], tblProducts[Unit Price])</f>
        <v>20</v>
      </c>
      <c r="I203" s="22">
        <f>_xlfn.XLOOKUP(tblAnalysis[[#This Row],[Product ID]], tblProducts[Product ID], tblProducts[Unit Cost])</f>
        <v>8</v>
      </c>
      <c r="J203" t="str">
        <f>_xlfn.XLOOKUP(tblAnalysis[[#This Row],[Rep ID]], tblReps[Rep ID], tblReps[Sales Rep])</f>
        <v>Sarah</v>
      </c>
      <c r="K203" t="str">
        <f>_xlfn.XLOOKUP(tblAnalysis[[#This Row],[Rep ID]], tblReps[Rep ID], tblReps[Region])</f>
        <v>Chicago</v>
      </c>
      <c r="L203" s="22">
        <f>tblAnalysis[[#This Row],[Quantity]]*tblAnalysis[[#This Row],[Unit Price]]</f>
        <v>100</v>
      </c>
      <c r="M203" s="22">
        <f>tblAnalysis[[#This Row],[Quantity]]*(tblAnalysis[[#This Row],[Unit Price]]-tblAnalysis[[#This Row],[Unit Cost]])</f>
        <v>60</v>
      </c>
    </row>
    <row r="204" spans="1:13">
      <c r="A204" t="s">
        <v>258</v>
      </c>
      <c r="B204" s="1">
        <v>45786</v>
      </c>
      <c r="C204" t="s">
        <v>41</v>
      </c>
      <c r="D204" t="s">
        <v>5</v>
      </c>
      <c r="E204">
        <v>8</v>
      </c>
      <c r="F204" t="str">
        <f>_xlfn.XLOOKUP(tblAnalysis[[#This Row],[Product ID]], tblProducts[Product ID], tblProducts[Product Name])</f>
        <v>Headset</v>
      </c>
      <c r="G204" t="str">
        <f>_xlfn.XLOOKUP(tblAnalysis[[#This Row],[Product ID]], tblProducts[Product ID], tblProducts[Category])</f>
        <v>Electronics</v>
      </c>
      <c r="H204" s="22">
        <f>_xlfn.XLOOKUP(tblAnalysis[[#This Row],[Product ID]], tblProducts[Product ID], tblProducts[Unit Price])</f>
        <v>75</v>
      </c>
      <c r="I204" s="22">
        <f>_xlfn.XLOOKUP(tblAnalysis[[#This Row],[Product ID]], tblProducts[Product ID], tblProducts[Unit Cost])</f>
        <v>45</v>
      </c>
      <c r="J204" t="str">
        <f>_xlfn.XLOOKUP(tblAnalysis[[#This Row],[Rep ID]], tblReps[Rep ID], tblReps[Sales Rep])</f>
        <v>Sarah</v>
      </c>
      <c r="K204" t="str">
        <f>_xlfn.XLOOKUP(tblAnalysis[[#This Row],[Rep ID]], tblReps[Rep ID], tblReps[Region])</f>
        <v>Chicago</v>
      </c>
      <c r="L204" s="22">
        <f>tblAnalysis[[#This Row],[Quantity]]*tblAnalysis[[#This Row],[Unit Price]]</f>
        <v>600</v>
      </c>
      <c r="M204" s="22">
        <f>tblAnalysis[[#This Row],[Quantity]]*(tblAnalysis[[#This Row],[Unit Price]]-tblAnalysis[[#This Row],[Unit Cost]])</f>
        <v>240</v>
      </c>
    </row>
    <row r="205" spans="1:13">
      <c r="A205" t="s">
        <v>259</v>
      </c>
      <c r="B205" s="1">
        <v>45787</v>
      </c>
      <c r="C205" t="s">
        <v>49</v>
      </c>
      <c r="D205" t="s">
        <v>26</v>
      </c>
      <c r="E205">
        <v>4</v>
      </c>
      <c r="F205" t="str">
        <f>_xlfn.XLOOKUP(tblAnalysis[[#This Row],[Product ID]], tblProducts[Product ID], tblProducts[Product Name])</f>
        <v>Shoes</v>
      </c>
      <c r="G205" t="str">
        <f>_xlfn.XLOOKUP(tblAnalysis[[#This Row],[Product ID]], tblProducts[Product ID], tblProducts[Category])</f>
        <v>Fashion</v>
      </c>
      <c r="H205" s="22">
        <f>_xlfn.XLOOKUP(tblAnalysis[[#This Row],[Product ID]], tblProducts[Product ID], tblProducts[Unit Price])</f>
        <v>75</v>
      </c>
      <c r="I205" s="22">
        <f>_xlfn.XLOOKUP(tblAnalysis[[#This Row],[Product ID]], tblProducts[Product ID], tblProducts[Unit Cost])</f>
        <v>40</v>
      </c>
      <c r="J205" t="str">
        <f>_xlfn.XLOOKUP(tblAnalysis[[#This Row],[Rep ID]], tblReps[Rep ID], tblReps[Sales Rep])</f>
        <v>Emma</v>
      </c>
      <c r="K205" t="str">
        <f>_xlfn.XLOOKUP(tblAnalysis[[#This Row],[Rep ID]], tblReps[Rep ID], tblReps[Region])</f>
        <v>Miami</v>
      </c>
      <c r="L205" s="22">
        <f>tblAnalysis[[#This Row],[Quantity]]*tblAnalysis[[#This Row],[Unit Price]]</f>
        <v>300</v>
      </c>
      <c r="M205" s="22">
        <f>tblAnalysis[[#This Row],[Quantity]]*(tblAnalysis[[#This Row],[Unit Price]]-tblAnalysis[[#This Row],[Unit Cost]])</f>
        <v>140</v>
      </c>
    </row>
    <row r="206" spans="1:13">
      <c r="A206" t="s">
        <v>260</v>
      </c>
      <c r="B206" s="1">
        <v>45787</v>
      </c>
      <c r="C206" t="s">
        <v>33</v>
      </c>
      <c r="D206" t="s">
        <v>8</v>
      </c>
      <c r="E206">
        <v>3</v>
      </c>
      <c r="F206" t="str">
        <f>_xlfn.XLOOKUP(tblAnalysis[[#This Row],[Product ID]], tblProducts[Product ID], tblProducts[Product Name])</f>
        <v>Mouse</v>
      </c>
      <c r="G206" t="str">
        <f>_xlfn.XLOOKUP(tblAnalysis[[#This Row],[Product ID]], tblProducts[Product ID], tblProducts[Category])</f>
        <v>Electronics</v>
      </c>
      <c r="H206" s="22">
        <f>_xlfn.XLOOKUP(tblAnalysis[[#This Row],[Product ID]], tblProducts[Product ID], tblProducts[Unit Price])</f>
        <v>25</v>
      </c>
      <c r="I206" s="22">
        <f>_xlfn.XLOOKUP(tblAnalysis[[#This Row],[Product ID]], tblProducts[Product ID], tblProducts[Unit Cost])</f>
        <v>12</v>
      </c>
      <c r="J206" t="str">
        <f>_xlfn.XLOOKUP(tblAnalysis[[#This Row],[Rep ID]], tblReps[Rep ID], tblReps[Sales Rep])</f>
        <v>John</v>
      </c>
      <c r="K206" t="str">
        <f>_xlfn.XLOOKUP(tblAnalysis[[#This Row],[Rep ID]], tblReps[Rep ID], tblReps[Region])</f>
        <v>New York</v>
      </c>
      <c r="L206" s="22">
        <f>tblAnalysis[[#This Row],[Quantity]]*tblAnalysis[[#This Row],[Unit Price]]</f>
        <v>75</v>
      </c>
      <c r="M206" s="22">
        <f>tblAnalysis[[#This Row],[Quantity]]*(tblAnalysis[[#This Row],[Unit Price]]-tblAnalysis[[#This Row],[Unit Cost]])</f>
        <v>39</v>
      </c>
    </row>
    <row r="207" spans="1:13">
      <c r="A207" t="s">
        <v>261</v>
      </c>
      <c r="B207" s="1">
        <v>45788</v>
      </c>
      <c r="C207" t="s">
        <v>33</v>
      </c>
      <c r="D207" t="s">
        <v>5</v>
      </c>
      <c r="E207">
        <v>9</v>
      </c>
      <c r="F207" t="str">
        <f>_xlfn.XLOOKUP(tblAnalysis[[#This Row],[Product ID]], tblProducts[Product ID], tblProducts[Product Name])</f>
        <v>Headset</v>
      </c>
      <c r="G207" t="str">
        <f>_xlfn.XLOOKUP(tblAnalysis[[#This Row],[Product ID]], tblProducts[Product ID], tblProducts[Category])</f>
        <v>Electronics</v>
      </c>
      <c r="H207" s="22">
        <f>_xlfn.XLOOKUP(tblAnalysis[[#This Row],[Product ID]], tblProducts[Product ID], tblProducts[Unit Price])</f>
        <v>75</v>
      </c>
      <c r="I207" s="22">
        <f>_xlfn.XLOOKUP(tblAnalysis[[#This Row],[Product ID]], tblProducts[Product ID], tblProducts[Unit Cost])</f>
        <v>45</v>
      </c>
      <c r="J207" t="str">
        <f>_xlfn.XLOOKUP(tblAnalysis[[#This Row],[Rep ID]], tblReps[Rep ID], tblReps[Sales Rep])</f>
        <v>John</v>
      </c>
      <c r="K207" t="str">
        <f>_xlfn.XLOOKUP(tblAnalysis[[#This Row],[Rep ID]], tblReps[Rep ID], tblReps[Region])</f>
        <v>New York</v>
      </c>
      <c r="L207" s="22">
        <f>tblAnalysis[[#This Row],[Quantity]]*tblAnalysis[[#This Row],[Unit Price]]</f>
        <v>675</v>
      </c>
      <c r="M207" s="22">
        <f>tblAnalysis[[#This Row],[Quantity]]*(tblAnalysis[[#This Row],[Unit Price]]-tblAnalysis[[#This Row],[Unit Cost]])</f>
        <v>270</v>
      </c>
    </row>
    <row r="208" spans="1:13">
      <c r="A208" t="s">
        <v>262</v>
      </c>
      <c r="B208" s="1">
        <v>45788</v>
      </c>
      <c r="C208" t="s">
        <v>33</v>
      </c>
      <c r="D208" t="s">
        <v>17</v>
      </c>
      <c r="E208">
        <v>5</v>
      </c>
      <c r="F208" t="str">
        <f>_xlfn.XLOOKUP(tblAnalysis[[#This Row],[Product ID]], tblProducts[Product ID], tblProducts[Product Name])</f>
        <v>Iron</v>
      </c>
      <c r="G208" t="str">
        <f>_xlfn.XLOOKUP(tblAnalysis[[#This Row],[Product ID]], tblProducts[Product ID], tblProducts[Category])</f>
        <v>Home &amp; Living</v>
      </c>
      <c r="H208" s="22">
        <f>_xlfn.XLOOKUP(tblAnalysis[[#This Row],[Product ID]], tblProducts[Product ID], tblProducts[Unit Price])</f>
        <v>35</v>
      </c>
      <c r="I208" s="22">
        <f>_xlfn.XLOOKUP(tblAnalysis[[#This Row],[Product ID]], tblProducts[Product ID], tblProducts[Unit Cost])</f>
        <v>20</v>
      </c>
      <c r="J208" t="str">
        <f>_xlfn.XLOOKUP(tblAnalysis[[#This Row],[Rep ID]], tblReps[Rep ID], tblReps[Sales Rep])</f>
        <v>John</v>
      </c>
      <c r="K208" t="str">
        <f>_xlfn.XLOOKUP(tblAnalysis[[#This Row],[Rep ID]], tblReps[Rep ID], tblReps[Region])</f>
        <v>New York</v>
      </c>
      <c r="L208" s="22">
        <f>tblAnalysis[[#This Row],[Quantity]]*tblAnalysis[[#This Row],[Unit Price]]</f>
        <v>175</v>
      </c>
      <c r="M208" s="22">
        <f>tblAnalysis[[#This Row],[Quantity]]*(tblAnalysis[[#This Row],[Unit Price]]-tblAnalysis[[#This Row],[Unit Cost]])</f>
        <v>75</v>
      </c>
    </row>
    <row r="209" spans="1:13">
      <c r="A209" t="s">
        <v>263</v>
      </c>
      <c r="B209" s="1">
        <v>45788</v>
      </c>
      <c r="C209" t="s">
        <v>49</v>
      </c>
      <c r="D209" t="s">
        <v>19</v>
      </c>
      <c r="E209">
        <v>5</v>
      </c>
      <c r="F209" t="str">
        <f>_xlfn.XLOOKUP(tblAnalysis[[#This Row],[Product ID]], tblProducts[Product ID], tblProducts[Product Name])</f>
        <v>Fan</v>
      </c>
      <c r="G209" t="str">
        <f>_xlfn.XLOOKUP(tblAnalysis[[#This Row],[Product ID]], tblProducts[Product ID], tblProducts[Category])</f>
        <v>Home &amp; Living</v>
      </c>
      <c r="H209" s="22">
        <f>_xlfn.XLOOKUP(tblAnalysis[[#This Row],[Product ID]], tblProducts[Product ID], tblProducts[Unit Price])</f>
        <v>45</v>
      </c>
      <c r="I209" s="22">
        <f>_xlfn.XLOOKUP(tblAnalysis[[#This Row],[Product ID]], tblProducts[Product ID], tblProducts[Unit Cost])</f>
        <v>25</v>
      </c>
      <c r="J209" t="str">
        <f>_xlfn.XLOOKUP(tblAnalysis[[#This Row],[Rep ID]], tblReps[Rep ID], tblReps[Sales Rep])</f>
        <v>Emma</v>
      </c>
      <c r="K209" t="str">
        <f>_xlfn.XLOOKUP(tblAnalysis[[#This Row],[Rep ID]], tblReps[Rep ID], tblReps[Region])</f>
        <v>Miami</v>
      </c>
      <c r="L209" s="22">
        <f>tblAnalysis[[#This Row],[Quantity]]*tblAnalysis[[#This Row],[Unit Price]]</f>
        <v>225</v>
      </c>
      <c r="M209" s="22">
        <f>tblAnalysis[[#This Row],[Quantity]]*(tblAnalysis[[#This Row],[Unit Price]]-tblAnalysis[[#This Row],[Unit Cost]])</f>
        <v>100</v>
      </c>
    </row>
    <row r="210" spans="1:13">
      <c r="A210" t="s">
        <v>264</v>
      </c>
      <c r="B210" s="1">
        <v>45788</v>
      </c>
      <c r="C210" t="s">
        <v>33</v>
      </c>
      <c r="D210" t="s">
        <v>26</v>
      </c>
      <c r="E210">
        <v>9</v>
      </c>
      <c r="F210" t="str">
        <f>_xlfn.XLOOKUP(tblAnalysis[[#This Row],[Product ID]], tblProducts[Product ID], tblProducts[Product Name])</f>
        <v>Shoes</v>
      </c>
      <c r="G210" t="str">
        <f>_xlfn.XLOOKUP(tblAnalysis[[#This Row],[Product ID]], tblProducts[Product ID], tblProducts[Category])</f>
        <v>Fashion</v>
      </c>
      <c r="H210" s="22">
        <f>_xlfn.XLOOKUP(tblAnalysis[[#This Row],[Product ID]], tblProducts[Product ID], tblProducts[Unit Price])</f>
        <v>75</v>
      </c>
      <c r="I210" s="22">
        <f>_xlfn.XLOOKUP(tblAnalysis[[#This Row],[Product ID]], tblProducts[Product ID], tblProducts[Unit Cost])</f>
        <v>40</v>
      </c>
      <c r="J210" t="str">
        <f>_xlfn.XLOOKUP(tblAnalysis[[#This Row],[Rep ID]], tblReps[Rep ID], tblReps[Sales Rep])</f>
        <v>John</v>
      </c>
      <c r="K210" t="str">
        <f>_xlfn.XLOOKUP(tblAnalysis[[#This Row],[Rep ID]], tblReps[Rep ID], tblReps[Region])</f>
        <v>New York</v>
      </c>
      <c r="L210" s="22">
        <f>tblAnalysis[[#This Row],[Quantity]]*tblAnalysis[[#This Row],[Unit Price]]</f>
        <v>675</v>
      </c>
      <c r="M210" s="22">
        <f>tblAnalysis[[#This Row],[Quantity]]*(tblAnalysis[[#This Row],[Unit Price]]-tblAnalysis[[#This Row],[Unit Cost]])</f>
        <v>315</v>
      </c>
    </row>
    <row r="211" spans="1:13">
      <c r="A211" t="s">
        <v>265</v>
      </c>
      <c r="B211" s="1">
        <v>45790</v>
      </c>
      <c r="C211" t="s">
        <v>37</v>
      </c>
      <c r="D211" t="s">
        <v>26</v>
      </c>
      <c r="E211">
        <v>5</v>
      </c>
      <c r="F211" t="str">
        <f>_xlfn.XLOOKUP(tblAnalysis[[#This Row],[Product ID]], tblProducts[Product ID], tblProducts[Product Name])</f>
        <v>Shoes</v>
      </c>
      <c r="G211" t="str">
        <f>_xlfn.XLOOKUP(tblAnalysis[[#This Row],[Product ID]], tblProducts[Product ID], tblProducts[Category])</f>
        <v>Fashion</v>
      </c>
      <c r="H211" s="22">
        <f>_xlfn.XLOOKUP(tblAnalysis[[#This Row],[Product ID]], tblProducts[Product ID], tblProducts[Unit Price])</f>
        <v>75</v>
      </c>
      <c r="I211" s="22">
        <f>_xlfn.XLOOKUP(tblAnalysis[[#This Row],[Product ID]], tblProducts[Product ID], tblProducts[Unit Cost])</f>
        <v>40</v>
      </c>
      <c r="J211" t="str">
        <f>_xlfn.XLOOKUP(tblAnalysis[[#This Row],[Rep ID]], tblReps[Rep ID], tblReps[Sales Rep])</f>
        <v>Mike</v>
      </c>
      <c r="K211" t="str">
        <f>_xlfn.XLOOKUP(tblAnalysis[[#This Row],[Rep ID]], tblReps[Rep ID], tblReps[Region])</f>
        <v>Los Angeles</v>
      </c>
      <c r="L211" s="22">
        <f>tblAnalysis[[#This Row],[Quantity]]*tblAnalysis[[#This Row],[Unit Price]]</f>
        <v>375</v>
      </c>
      <c r="M211" s="22">
        <f>tblAnalysis[[#This Row],[Quantity]]*(tblAnalysis[[#This Row],[Unit Price]]-tblAnalysis[[#This Row],[Unit Cost]])</f>
        <v>175</v>
      </c>
    </row>
    <row r="212" spans="1:13">
      <c r="A212" t="s">
        <v>266</v>
      </c>
      <c r="B212" s="1">
        <v>45791</v>
      </c>
      <c r="C212" t="s">
        <v>49</v>
      </c>
      <c r="D212" t="s">
        <v>26</v>
      </c>
      <c r="E212">
        <v>9</v>
      </c>
      <c r="F212" t="str">
        <f>_xlfn.XLOOKUP(tblAnalysis[[#This Row],[Product ID]], tblProducts[Product ID], tblProducts[Product Name])</f>
        <v>Shoes</v>
      </c>
      <c r="G212" t="str">
        <f>_xlfn.XLOOKUP(tblAnalysis[[#This Row],[Product ID]], tblProducts[Product ID], tblProducts[Category])</f>
        <v>Fashion</v>
      </c>
      <c r="H212" s="22">
        <f>_xlfn.XLOOKUP(tblAnalysis[[#This Row],[Product ID]], tblProducts[Product ID], tblProducts[Unit Price])</f>
        <v>75</v>
      </c>
      <c r="I212" s="22">
        <f>_xlfn.XLOOKUP(tblAnalysis[[#This Row],[Product ID]], tblProducts[Product ID], tblProducts[Unit Cost])</f>
        <v>40</v>
      </c>
      <c r="J212" t="str">
        <f>_xlfn.XLOOKUP(tblAnalysis[[#This Row],[Rep ID]], tblReps[Rep ID], tblReps[Sales Rep])</f>
        <v>Emma</v>
      </c>
      <c r="K212" t="str">
        <f>_xlfn.XLOOKUP(tblAnalysis[[#This Row],[Rep ID]], tblReps[Rep ID], tblReps[Region])</f>
        <v>Miami</v>
      </c>
      <c r="L212" s="22">
        <f>tblAnalysis[[#This Row],[Quantity]]*tblAnalysis[[#This Row],[Unit Price]]</f>
        <v>675</v>
      </c>
      <c r="M212" s="22">
        <f>tblAnalysis[[#This Row],[Quantity]]*(tblAnalysis[[#This Row],[Unit Price]]-tblAnalysis[[#This Row],[Unit Cost]])</f>
        <v>315</v>
      </c>
    </row>
    <row r="213" spans="1:13">
      <c r="A213" t="s">
        <v>267</v>
      </c>
      <c r="B213" s="1">
        <v>45792</v>
      </c>
      <c r="C213" t="s">
        <v>41</v>
      </c>
      <c r="D213" t="s">
        <v>12</v>
      </c>
      <c r="E213">
        <v>3</v>
      </c>
      <c r="F213" t="str">
        <f>_xlfn.XLOOKUP(tblAnalysis[[#This Row],[Product ID]], tblProducts[Product ID], tblProducts[Product Name])</f>
        <v>Webcam</v>
      </c>
      <c r="G213" t="str">
        <f>_xlfn.XLOOKUP(tblAnalysis[[#This Row],[Product ID]], tblProducts[Product ID], tblProducts[Category])</f>
        <v>Electronics</v>
      </c>
      <c r="H213" s="22">
        <f>_xlfn.XLOOKUP(tblAnalysis[[#This Row],[Product ID]], tblProducts[Product ID], tblProducts[Unit Price])</f>
        <v>60</v>
      </c>
      <c r="I213" s="22">
        <f>_xlfn.XLOOKUP(tblAnalysis[[#This Row],[Product ID]], tblProducts[Product ID], tblProducts[Unit Cost])</f>
        <v>35</v>
      </c>
      <c r="J213" t="str">
        <f>_xlfn.XLOOKUP(tblAnalysis[[#This Row],[Rep ID]], tblReps[Rep ID], tblReps[Sales Rep])</f>
        <v>Sarah</v>
      </c>
      <c r="K213" t="str">
        <f>_xlfn.XLOOKUP(tblAnalysis[[#This Row],[Rep ID]], tblReps[Rep ID], tblReps[Region])</f>
        <v>Chicago</v>
      </c>
      <c r="L213" s="22">
        <f>tblAnalysis[[#This Row],[Quantity]]*tblAnalysis[[#This Row],[Unit Price]]</f>
        <v>180</v>
      </c>
      <c r="M213" s="22">
        <f>tblAnalysis[[#This Row],[Quantity]]*(tblAnalysis[[#This Row],[Unit Price]]-tblAnalysis[[#This Row],[Unit Cost]])</f>
        <v>75</v>
      </c>
    </row>
    <row r="214" spans="1:13">
      <c r="A214" t="s">
        <v>268</v>
      </c>
      <c r="B214" s="1">
        <v>45792</v>
      </c>
      <c r="C214" t="s">
        <v>37</v>
      </c>
      <c r="D214" t="s">
        <v>10</v>
      </c>
      <c r="E214">
        <v>1</v>
      </c>
      <c r="F214" t="str">
        <f>_xlfn.XLOOKUP(tblAnalysis[[#This Row],[Product ID]], tblProducts[Product ID], tblProducts[Product Name])</f>
        <v>Keyboard</v>
      </c>
      <c r="G214" t="str">
        <f>_xlfn.XLOOKUP(tblAnalysis[[#This Row],[Product ID]], tblProducts[Product ID], tblProducts[Category])</f>
        <v>Electronics</v>
      </c>
      <c r="H214" s="22">
        <f>_xlfn.XLOOKUP(tblAnalysis[[#This Row],[Product ID]], tblProducts[Product ID], tblProducts[Unit Price])</f>
        <v>40</v>
      </c>
      <c r="I214" s="22">
        <f>_xlfn.XLOOKUP(tblAnalysis[[#This Row],[Product ID]], tblProducts[Product ID], tblProducts[Unit Cost])</f>
        <v>22</v>
      </c>
      <c r="J214" t="str">
        <f>_xlfn.XLOOKUP(tblAnalysis[[#This Row],[Rep ID]], tblReps[Rep ID], tblReps[Sales Rep])</f>
        <v>Mike</v>
      </c>
      <c r="K214" t="str">
        <f>_xlfn.XLOOKUP(tblAnalysis[[#This Row],[Rep ID]], tblReps[Rep ID], tblReps[Region])</f>
        <v>Los Angeles</v>
      </c>
      <c r="L214" s="22">
        <f>tblAnalysis[[#This Row],[Quantity]]*tblAnalysis[[#This Row],[Unit Price]]</f>
        <v>40</v>
      </c>
      <c r="M214" s="22">
        <f>tblAnalysis[[#This Row],[Quantity]]*(tblAnalysis[[#This Row],[Unit Price]]-tblAnalysis[[#This Row],[Unit Cost]])</f>
        <v>18</v>
      </c>
    </row>
    <row r="215" spans="1:13">
      <c r="A215" t="s">
        <v>269</v>
      </c>
      <c r="B215" s="1">
        <v>45792</v>
      </c>
      <c r="C215" t="s">
        <v>37</v>
      </c>
      <c r="D215" t="s">
        <v>10</v>
      </c>
      <c r="E215">
        <v>8</v>
      </c>
      <c r="F215" t="str">
        <f>_xlfn.XLOOKUP(tblAnalysis[[#This Row],[Product ID]], tblProducts[Product ID], tblProducts[Product Name])</f>
        <v>Keyboard</v>
      </c>
      <c r="G215" t="str">
        <f>_xlfn.XLOOKUP(tblAnalysis[[#This Row],[Product ID]], tblProducts[Product ID], tblProducts[Category])</f>
        <v>Electronics</v>
      </c>
      <c r="H215" s="22">
        <f>_xlfn.XLOOKUP(tblAnalysis[[#This Row],[Product ID]], tblProducts[Product ID], tblProducts[Unit Price])</f>
        <v>40</v>
      </c>
      <c r="I215" s="22">
        <f>_xlfn.XLOOKUP(tblAnalysis[[#This Row],[Product ID]], tblProducts[Product ID], tblProducts[Unit Cost])</f>
        <v>22</v>
      </c>
      <c r="J215" t="str">
        <f>_xlfn.XLOOKUP(tblAnalysis[[#This Row],[Rep ID]], tblReps[Rep ID], tblReps[Sales Rep])</f>
        <v>Mike</v>
      </c>
      <c r="K215" t="str">
        <f>_xlfn.XLOOKUP(tblAnalysis[[#This Row],[Rep ID]], tblReps[Rep ID], tblReps[Region])</f>
        <v>Los Angeles</v>
      </c>
      <c r="L215" s="22">
        <f>tblAnalysis[[#This Row],[Quantity]]*tblAnalysis[[#This Row],[Unit Price]]</f>
        <v>320</v>
      </c>
      <c r="M215" s="22">
        <f>tblAnalysis[[#This Row],[Quantity]]*(tblAnalysis[[#This Row],[Unit Price]]-tblAnalysis[[#This Row],[Unit Cost]])</f>
        <v>144</v>
      </c>
    </row>
    <row r="216" spans="1:13">
      <c r="A216" t="s">
        <v>270</v>
      </c>
      <c r="B216" s="1">
        <v>45793</v>
      </c>
      <c r="C216" t="s">
        <v>45</v>
      </c>
      <c r="D216" t="s">
        <v>21</v>
      </c>
      <c r="E216">
        <v>6</v>
      </c>
      <c r="F216" t="str">
        <f>_xlfn.XLOOKUP(tblAnalysis[[#This Row],[Product ID]], tblProducts[Product ID], tblProducts[Product Name])</f>
        <v>T-Shirt</v>
      </c>
      <c r="G216" t="str">
        <f>_xlfn.XLOOKUP(tblAnalysis[[#This Row],[Product ID]], tblProducts[Product ID], tblProducts[Category])</f>
        <v>Fashion</v>
      </c>
      <c r="H216" s="22">
        <f>_xlfn.XLOOKUP(tblAnalysis[[#This Row],[Product ID]], tblProducts[Product ID], tblProducts[Unit Price])</f>
        <v>20</v>
      </c>
      <c r="I216" s="22">
        <f>_xlfn.XLOOKUP(tblAnalysis[[#This Row],[Product ID]], tblProducts[Product ID], tblProducts[Unit Cost])</f>
        <v>8</v>
      </c>
      <c r="J216" t="str">
        <f>_xlfn.XLOOKUP(tblAnalysis[[#This Row],[Rep ID]], tblReps[Rep ID], tblReps[Sales Rep])</f>
        <v>David</v>
      </c>
      <c r="K216" t="str">
        <f>_xlfn.XLOOKUP(tblAnalysis[[#This Row],[Rep ID]], tblReps[Rep ID], tblReps[Region])</f>
        <v>Houston</v>
      </c>
      <c r="L216" s="22">
        <f>tblAnalysis[[#This Row],[Quantity]]*tblAnalysis[[#This Row],[Unit Price]]</f>
        <v>120</v>
      </c>
      <c r="M216" s="22">
        <f>tblAnalysis[[#This Row],[Quantity]]*(tblAnalysis[[#This Row],[Unit Price]]-tblAnalysis[[#This Row],[Unit Cost]])</f>
        <v>72</v>
      </c>
    </row>
    <row r="217" spans="1:13">
      <c r="A217" t="s">
        <v>271</v>
      </c>
      <c r="B217" s="1">
        <v>45794</v>
      </c>
      <c r="C217" t="s">
        <v>49</v>
      </c>
      <c r="D217" t="s">
        <v>19</v>
      </c>
      <c r="E217">
        <v>7</v>
      </c>
      <c r="F217" t="str">
        <f>_xlfn.XLOOKUP(tblAnalysis[[#This Row],[Product ID]], tblProducts[Product ID], tblProducts[Product Name])</f>
        <v>Fan</v>
      </c>
      <c r="G217" t="str">
        <f>_xlfn.XLOOKUP(tblAnalysis[[#This Row],[Product ID]], tblProducts[Product ID], tblProducts[Category])</f>
        <v>Home &amp; Living</v>
      </c>
      <c r="H217" s="22">
        <f>_xlfn.XLOOKUP(tblAnalysis[[#This Row],[Product ID]], tblProducts[Product ID], tblProducts[Unit Price])</f>
        <v>45</v>
      </c>
      <c r="I217" s="22">
        <f>_xlfn.XLOOKUP(tblAnalysis[[#This Row],[Product ID]], tblProducts[Product ID], tblProducts[Unit Cost])</f>
        <v>25</v>
      </c>
      <c r="J217" t="str">
        <f>_xlfn.XLOOKUP(tblAnalysis[[#This Row],[Rep ID]], tblReps[Rep ID], tblReps[Sales Rep])</f>
        <v>Emma</v>
      </c>
      <c r="K217" t="str">
        <f>_xlfn.XLOOKUP(tblAnalysis[[#This Row],[Rep ID]], tblReps[Rep ID], tblReps[Region])</f>
        <v>Miami</v>
      </c>
      <c r="L217" s="22">
        <f>tblAnalysis[[#This Row],[Quantity]]*tblAnalysis[[#This Row],[Unit Price]]</f>
        <v>315</v>
      </c>
      <c r="M217" s="22">
        <f>tblAnalysis[[#This Row],[Quantity]]*(tblAnalysis[[#This Row],[Unit Price]]-tblAnalysis[[#This Row],[Unit Cost]])</f>
        <v>140</v>
      </c>
    </row>
    <row r="218" spans="1:13">
      <c r="A218" t="s">
        <v>272</v>
      </c>
      <c r="B218" s="1">
        <v>45796</v>
      </c>
      <c r="C218" t="s">
        <v>33</v>
      </c>
      <c r="D218" t="s">
        <v>21</v>
      </c>
      <c r="E218">
        <v>6</v>
      </c>
      <c r="F218" t="str">
        <f>_xlfn.XLOOKUP(tblAnalysis[[#This Row],[Product ID]], tblProducts[Product ID], tblProducts[Product Name])</f>
        <v>T-Shirt</v>
      </c>
      <c r="G218" t="str">
        <f>_xlfn.XLOOKUP(tblAnalysis[[#This Row],[Product ID]], tblProducts[Product ID], tblProducts[Category])</f>
        <v>Fashion</v>
      </c>
      <c r="H218" s="22">
        <f>_xlfn.XLOOKUP(tblAnalysis[[#This Row],[Product ID]], tblProducts[Product ID], tblProducts[Unit Price])</f>
        <v>20</v>
      </c>
      <c r="I218" s="22">
        <f>_xlfn.XLOOKUP(tblAnalysis[[#This Row],[Product ID]], tblProducts[Product ID], tblProducts[Unit Cost])</f>
        <v>8</v>
      </c>
      <c r="J218" t="str">
        <f>_xlfn.XLOOKUP(tblAnalysis[[#This Row],[Rep ID]], tblReps[Rep ID], tblReps[Sales Rep])</f>
        <v>John</v>
      </c>
      <c r="K218" t="str">
        <f>_xlfn.XLOOKUP(tblAnalysis[[#This Row],[Rep ID]], tblReps[Rep ID], tblReps[Region])</f>
        <v>New York</v>
      </c>
      <c r="L218" s="22">
        <f>tblAnalysis[[#This Row],[Quantity]]*tblAnalysis[[#This Row],[Unit Price]]</f>
        <v>120</v>
      </c>
      <c r="M218" s="22">
        <f>tblAnalysis[[#This Row],[Quantity]]*(tblAnalysis[[#This Row],[Unit Price]]-tblAnalysis[[#This Row],[Unit Cost]])</f>
        <v>72</v>
      </c>
    </row>
    <row r="219" spans="1:13">
      <c r="A219" t="s">
        <v>273</v>
      </c>
      <c r="B219" s="1">
        <v>45797</v>
      </c>
      <c r="C219" t="s">
        <v>41</v>
      </c>
      <c r="D219" t="s">
        <v>19</v>
      </c>
      <c r="E219">
        <v>4</v>
      </c>
      <c r="F219" t="str">
        <f>_xlfn.XLOOKUP(tblAnalysis[[#This Row],[Product ID]], tblProducts[Product ID], tblProducts[Product Name])</f>
        <v>Fan</v>
      </c>
      <c r="G219" t="str">
        <f>_xlfn.XLOOKUP(tblAnalysis[[#This Row],[Product ID]], tblProducts[Product ID], tblProducts[Category])</f>
        <v>Home &amp; Living</v>
      </c>
      <c r="H219" s="22">
        <f>_xlfn.XLOOKUP(tblAnalysis[[#This Row],[Product ID]], tblProducts[Product ID], tblProducts[Unit Price])</f>
        <v>45</v>
      </c>
      <c r="I219" s="22">
        <f>_xlfn.XLOOKUP(tblAnalysis[[#This Row],[Product ID]], tblProducts[Product ID], tblProducts[Unit Cost])</f>
        <v>25</v>
      </c>
      <c r="J219" t="str">
        <f>_xlfn.XLOOKUP(tblAnalysis[[#This Row],[Rep ID]], tblReps[Rep ID], tblReps[Sales Rep])</f>
        <v>Sarah</v>
      </c>
      <c r="K219" t="str">
        <f>_xlfn.XLOOKUP(tblAnalysis[[#This Row],[Rep ID]], tblReps[Rep ID], tblReps[Region])</f>
        <v>Chicago</v>
      </c>
      <c r="L219" s="22">
        <f>tblAnalysis[[#This Row],[Quantity]]*tblAnalysis[[#This Row],[Unit Price]]</f>
        <v>180</v>
      </c>
      <c r="M219" s="22">
        <f>tblAnalysis[[#This Row],[Quantity]]*(tblAnalysis[[#This Row],[Unit Price]]-tblAnalysis[[#This Row],[Unit Cost]])</f>
        <v>80</v>
      </c>
    </row>
    <row r="220" spans="1:13">
      <c r="A220" t="s">
        <v>274</v>
      </c>
      <c r="B220" s="1">
        <v>45799</v>
      </c>
      <c r="C220" t="s">
        <v>45</v>
      </c>
      <c r="D220" t="s">
        <v>12</v>
      </c>
      <c r="E220">
        <v>8</v>
      </c>
      <c r="F220" t="str">
        <f>_xlfn.XLOOKUP(tblAnalysis[[#This Row],[Product ID]], tblProducts[Product ID], tblProducts[Product Name])</f>
        <v>Webcam</v>
      </c>
      <c r="G220" t="str">
        <f>_xlfn.XLOOKUP(tblAnalysis[[#This Row],[Product ID]], tblProducts[Product ID], tblProducts[Category])</f>
        <v>Electronics</v>
      </c>
      <c r="H220" s="22">
        <f>_xlfn.XLOOKUP(tblAnalysis[[#This Row],[Product ID]], tblProducts[Product ID], tblProducts[Unit Price])</f>
        <v>60</v>
      </c>
      <c r="I220" s="22">
        <f>_xlfn.XLOOKUP(tblAnalysis[[#This Row],[Product ID]], tblProducts[Product ID], tblProducts[Unit Cost])</f>
        <v>35</v>
      </c>
      <c r="J220" t="str">
        <f>_xlfn.XLOOKUP(tblAnalysis[[#This Row],[Rep ID]], tblReps[Rep ID], tblReps[Sales Rep])</f>
        <v>David</v>
      </c>
      <c r="K220" t="str">
        <f>_xlfn.XLOOKUP(tblAnalysis[[#This Row],[Rep ID]], tblReps[Rep ID], tblReps[Region])</f>
        <v>Houston</v>
      </c>
      <c r="L220" s="22">
        <f>tblAnalysis[[#This Row],[Quantity]]*tblAnalysis[[#This Row],[Unit Price]]</f>
        <v>480</v>
      </c>
      <c r="M220" s="22">
        <f>tblAnalysis[[#This Row],[Quantity]]*(tblAnalysis[[#This Row],[Unit Price]]-tblAnalysis[[#This Row],[Unit Cost]])</f>
        <v>200</v>
      </c>
    </row>
    <row r="221" spans="1:13">
      <c r="A221" t="s">
        <v>275</v>
      </c>
      <c r="B221" s="1">
        <v>45800</v>
      </c>
      <c r="C221" t="s">
        <v>37</v>
      </c>
      <c r="D221" t="s">
        <v>5</v>
      </c>
      <c r="E221">
        <v>3</v>
      </c>
      <c r="F221" t="str">
        <f>_xlfn.XLOOKUP(tblAnalysis[[#This Row],[Product ID]], tblProducts[Product ID], tblProducts[Product Name])</f>
        <v>Headset</v>
      </c>
      <c r="G221" t="str">
        <f>_xlfn.XLOOKUP(tblAnalysis[[#This Row],[Product ID]], tblProducts[Product ID], tblProducts[Category])</f>
        <v>Electronics</v>
      </c>
      <c r="H221" s="22">
        <f>_xlfn.XLOOKUP(tblAnalysis[[#This Row],[Product ID]], tblProducts[Product ID], tblProducts[Unit Price])</f>
        <v>75</v>
      </c>
      <c r="I221" s="22">
        <f>_xlfn.XLOOKUP(tblAnalysis[[#This Row],[Product ID]], tblProducts[Product ID], tblProducts[Unit Cost])</f>
        <v>45</v>
      </c>
      <c r="J221" t="str">
        <f>_xlfn.XLOOKUP(tblAnalysis[[#This Row],[Rep ID]], tblReps[Rep ID], tblReps[Sales Rep])</f>
        <v>Mike</v>
      </c>
      <c r="K221" t="str">
        <f>_xlfn.XLOOKUP(tblAnalysis[[#This Row],[Rep ID]], tblReps[Rep ID], tblReps[Region])</f>
        <v>Los Angeles</v>
      </c>
      <c r="L221" s="22">
        <f>tblAnalysis[[#This Row],[Quantity]]*tblAnalysis[[#This Row],[Unit Price]]</f>
        <v>225</v>
      </c>
      <c r="M221" s="22">
        <f>tblAnalysis[[#This Row],[Quantity]]*(tblAnalysis[[#This Row],[Unit Price]]-tblAnalysis[[#This Row],[Unit Cost]])</f>
        <v>90</v>
      </c>
    </row>
    <row r="222" spans="1:13">
      <c r="A222" t="s">
        <v>276</v>
      </c>
      <c r="B222" s="1">
        <v>45800</v>
      </c>
      <c r="C222" t="s">
        <v>41</v>
      </c>
      <c r="D222" t="s">
        <v>26</v>
      </c>
      <c r="E222">
        <v>8</v>
      </c>
      <c r="F222" t="str">
        <f>_xlfn.XLOOKUP(tblAnalysis[[#This Row],[Product ID]], tblProducts[Product ID], tblProducts[Product Name])</f>
        <v>Shoes</v>
      </c>
      <c r="G222" t="str">
        <f>_xlfn.XLOOKUP(tblAnalysis[[#This Row],[Product ID]], tblProducts[Product ID], tblProducts[Category])</f>
        <v>Fashion</v>
      </c>
      <c r="H222" s="22">
        <f>_xlfn.XLOOKUP(tblAnalysis[[#This Row],[Product ID]], tblProducts[Product ID], tblProducts[Unit Price])</f>
        <v>75</v>
      </c>
      <c r="I222" s="22">
        <f>_xlfn.XLOOKUP(tblAnalysis[[#This Row],[Product ID]], tblProducts[Product ID], tblProducts[Unit Cost])</f>
        <v>40</v>
      </c>
      <c r="J222" t="str">
        <f>_xlfn.XLOOKUP(tblAnalysis[[#This Row],[Rep ID]], tblReps[Rep ID], tblReps[Sales Rep])</f>
        <v>Sarah</v>
      </c>
      <c r="K222" t="str">
        <f>_xlfn.XLOOKUP(tblAnalysis[[#This Row],[Rep ID]], tblReps[Rep ID], tblReps[Region])</f>
        <v>Chicago</v>
      </c>
      <c r="L222" s="22">
        <f>tblAnalysis[[#This Row],[Quantity]]*tblAnalysis[[#This Row],[Unit Price]]</f>
        <v>600</v>
      </c>
      <c r="M222" s="22">
        <f>tblAnalysis[[#This Row],[Quantity]]*(tblAnalysis[[#This Row],[Unit Price]]-tblAnalysis[[#This Row],[Unit Cost]])</f>
        <v>280</v>
      </c>
    </row>
    <row r="223" spans="1:13">
      <c r="A223" t="s">
        <v>277</v>
      </c>
      <c r="B223" s="1">
        <v>45801</v>
      </c>
      <c r="C223" t="s">
        <v>37</v>
      </c>
      <c r="D223" t="s">
        <v>5</v>
      </c>
      <c r="E223">
        <v>4</v>
      </c>
      <c r="F223" t="str">
        <f>_xlfn.XLOOKUP(tblAnalysis[[#This Row],[Product ID]], tblProducts[Product ID], tblProducts[Product Name])</f>
        <v>Headset</v>
      </c>
      <c r="G223" t="str">
        <f>_xlfn.XLOOKUP(tblAnalysis[[#This Row],[Product ID]], tblProducts[Product ID], tblProducts[Category])</f>
        <v>Electronics</v>
      </c>
      <c r="H223" s="22">
        <f>_xlfn.XLOOKUP(tblAnalysis[[#This Row],[Product ID]], tblProducts[Product ID], tblProducts[Unit Price])</f>
        <v>75</v>
      </c>
      <c r="I223" s="22">
        <f>_xlfn.XLOOKUP(tblAnalysis[[#This Row],[Product ID]], tblProducts[Product ID], tblProducts[Unit Cost])</f>
        <v>45</v>
      </c>
      <c r="J223" t="str">
        <f>_xlfn.XLOOKUP(tblAnalysis[[#This Row],[Rep ID]], tblReps[Rep ID], tblReps[Sales Rep])</f>
        <v>Mike</v>
      </c>
      <c r="K223" t="str">
        <f>_xlfn.XLOOKUP(tblAnalysis[[#This Row],[Rep ID]], tblReps[Rep ID], tblReps[Region])</f>
        <v>Los Angeles</v>
      </c>
      <c r="L223" s="22">
        <f>tblAnalysis[[#This Row],[Quantity]]*tblAnalysis[[#This Row],[Unit Price]]</f>
        <v>300</v>
      </c>
      <c r="M223" s="22">
        <f>tblAnalysis[[#This Row],[Quantity]]*(tblAnalysis[[#This Row],[Unit Price]]-tblAnalysis[[#This Row],[Unit Cost]])</f>
        <v>120</v>
      </c>
    </row>
    <row r="224" spans="1:13">
      <c r="A224" t="s">
        <v>278</v>
      </c>
      <c r="B224" s="1">
        <v>45801</v>
      </c>
      <c r="C224" t="s">
        <v>49</v>
      </c>
      <c r="D224" t="s">
        <v>21</v>
      </c>
      <c r="E224">
        <v>10</v>
      </c>
      <c r="F224" t="str">
        <f>_xlfn.XLOOKUP(tblAnalysis[[#This Row],[Product ID]], tblProducts[Product ID], tblProducts[Product Name])</f>
        <v>T-Shirt</v>
      </c>
      <c r="G224" t="str">
        <f>_xlfn.XLOOKUP(tblAnalysis[[#This Row],[Product ID]], tblProducts[Product ID], tblProducts[Category])</f>
        <v>Fashion</v>
      </c>
      <c r="H224" s="22">
        <f>_xlfn.XLOOKUP(tblAnalysis[[#This Row],[Product ID]], tblProducts[Product ID], tblProducts[Unit Price])</f>
        <v>20</v>
      </c>
      <c r="I224" s="22">
        <f>_xlfn.XLOOKUP(tblAnalysis[[#This Row],[Product ID]], tblProducts[Product ID], tblProducts[Unit Cost])</f>
        <v>8</v>
      </c>
      <c r="J224" t="str">
        <f>_xlfn.XLOOKUP(tblAnalysis[[#This Row],[Rep ID]], tblReps[Rep ID], tblReps[Sales Rep])</f>
        <v>Emma</v>
      </c>
      <c r="K224" t="str">
        <f>_xlfn.XLOOKUP(tblAnalysis[[#This Row],[Rep ID]], tblReps[Rep ID], tblReps[Region])</f>
        <v>Miami</v>
      </c>
      <c r="L224" s="22">
        <f>tblAnalysis[[#This Row],[Quantity]]*tblAnalysis[[#This Row],[Unit Price]]</f>
        <v>200</v>
      </c>
      <c r="M224" s="22">
        <f>tblAnalysis[[#This Row],[Quantity]]*(tblAnalysis[[#This Row],[Unit Price]]-tblAnalysis[[#This Row],[Unit Cost]])</f>
        <v>120</v>
      </c>
    </row>
    <row r="225" spans="1:13">
      <c r="A225" t="s">
        <v>279</v>
      </c>
      <c r="B225" s="1">
        <v>45801</v>
      </c>
      <c r="C225" t="s">
        <v>49</v>
      </c>
      <c r="D225" t="s">
        <v>12</v>
      </c>
      <c r="E225">
        <v>2</v>
      </c>
      <c r="F225" t="str">
        <f>_xlfn.XLOOKUP(tblAnalysis[[#This Row],[Product ID]], tblProducts[Product ID], tblProducts[Product Name])</f>
        <v>Webcam</v>
      </c>
      <c r="G225" t="str">
        <f>_xlfn.XLOOKUP(tblAnalysis[[#This Row],[Product ID]], tblProducts[Product ID], tblProducts[Category])</f>
        <v>Electronics</v>
      </c>
      <c r="H225" s="22">
        <f>_xlfn.XLOOKUP(tblAnalysis[[#This Row],[Product ID]], tblProducts[Product ID], tblProducts[Unit Price])</f>
        <v>60</v>
      </c>
      <c r="I225" s="22">
        <f>_xlfn.XLOOKUP(tblAnalysis[[#This Row],[Product ID]], tblProducts[Product ID], tblProducts[Unit Cost])</f>
        <v>35</v>
      </c>
      <c r="J225" t="str">
        <f>_xlfn.XLOOKUP(tblAnalysis[[#This Row],[Rep ID]], tblReps[Rep ID], tblReps[Sales Rep])</f>
        <v>Emma</v>
      </c>
      <c r="K225" t="str">
        <f>_xlfn.XLOOKUP(tblAnalysis[[#This Row],[Rep ID]], tblReps[Rep ID], tblReps[Region])</f>
        <v>Miami</v>
      </c>
      <c r="L225" s="22">
        <f>tblAnalysis[[#This Row],[Quantity]]*tblAnalysis[[#This Row],[Unit Price]]</f>
        <v>120</v>
      </c>
      <c r="M225" s="22">
        <f>tblAnalysis[[#This Row],[Quantity]]*(tblAnalysis[[#This Row],[Unit Price]]-tblAnalysis[[#This Row],[Unit Cost]])</f>
        <v>50</v>
      </c>
    </row>
    <row r="226" spans="1:13">
      <c r="A226" t="s">
        <v>280</v>
      </c>
      <c r="B226" s="1">
        <v>45801</v>
      </c>
      <c r="C226" t="s">
        <v>41</v>
      </c>
      <c r="D226" t="s">
        <v>10</v>
      </c>
      <c r="E226">
        <v>4</v>
      </c>
      <c r="F226" t="str">
        <f>_xlfn.XLOOKUP(tblAnalysis[[#This Row],[Product ID]], tblProducts[Product ID], tblProducts[Product Name])</f>
        <v>Keyboard</v>
      </c>
      <c r="G226" t="str">
        <f>_xlfn.XLOOKUP(tblAnalysis[[#This Row],[Product ID]], tblProducts[Product ID], tblProducts[Category])</f>
        <v>Electronics</v>
      </c>
      <c r="H226" s="22">
        <f>_xlfn.XLOOKUP(tblAnalysis[[#This Row],[Product ID]], tblProducts[Product ID], tblProducts[Unit Price])</f>
        <v>40</v>
      </c>
      <c r="I226" s="22">
        <f>_xlfn.XLOOKUP(tblAnalysis[[#This Row],[Product ID]], tblProducts[Product ID], tblProducts[Unit Cost])</f>
        <v>22</v>
      </c>
      <c r="J226" t="str">
        <f>_xlfn.XLOOKUP(tblAnalysis[[#This Row],[Rep ID]], tblReps[Rep ID], tblReps[Sales Rep])</f>
        <v>Sarah</v>
      </c>
      <c r="K226" t="str">
        <f>_xlfn.XLOOKUP(tblAnalysis[[#This Row],[Rep ID]], tblReps[Rep ID], tblReps[Region])</f>
        <v>Chicago</v>
      </c>
      <c r="L226" s="22">
        <f>tblAnalysis[[#This Row],[Quantity]]*tblAnalysis[[#This Row],[Unit Price]]</f>
        <v>160</v>
      </c>
      <c r="M226" s="22">
        <f>tblAnalysis[[#This Row],[Quantity]]*(tblAnalysis[[#This Row],[Unit Price]]-tblAnalysis[[#This Row],[Unit Cost]])</f>
        <v>72</v>
      </c>
    </row>
    <row r="227" spans="1:13">
      <c r="A227" t="s">
        <v>281</v>
      </c>
      <c r="B227" s="1">
        <v>45801</v>
      </c>
      <c r="C227" t="s">
        <v>45</v>
      </c>
      <c r="D227" t="s">
        <v>5</v>
      </c>
      <c r="E227">
        <v>7</v>
      </c>
      <c r="F227" t="str">
        <f>_xlfn.XLOOKUP(tblAnalysis[[#This Row],[Product ID]], tblProducts[Product ID], tblProducts[Product Name])</f>
        <v>Headset</v>
      </c>
      <c r="G227" t="str">
        <f>_xlfn.XLOOKUP(tblAnalysis[[#This Row],[Product ID]], tblProducts[Product ID], tblProducts[Category])</f>
        <v>Electronics</v>
      </c>
      <c r="H227" s="22">
        <f>_xlfn.XLOOKUP(tblAnalysis[[#This Row],[Product ID]], tblProducts[Product ID], tblProducts[Unit Price])</f>
        <v>75</v>
      </c>
      <c r="I227" s="22">
        <f>_xlfn.XLOOKUP(tblAnalysis[[#This Row],[Product ID]], tblProducts[Product ID], tblProducts[Unit Cost])</f>
        <v>45</v>
      </c>
      <c r="J227" t="str">
        <f>_xlfn.XLOOKUP(tblAnalysis[[#This Row],[Rep ID]], tblReps[Rep ID], tblReps[Sales Rep])</f>
        <v>David</v>
      </c>
      <c r="K227" t="str">
        <f>_xlfn.XLOOKUP(tblAnalysis[[#This Row],[Rep ID]], tblReps[Rep ID], tblReps[Region])</f>
        <v>Houston</v>
      </c>
      <c r="L227" s="22">
        <f>tblAnalysis[[#This Row],[Quantity]]*tblAnalysis[[#This Row],[Unit Price]]</f>
        <v>525</v>
      </c>
      <c r="M227" s="22">
        <f>tblAnalysis[[#This Row],[Quantity]]*(tblAnalysis[[#This Row],[Unit Price]]-tblAnalysis[[#This Row],[Unit Cost]])</f>
        <v>210</v>
      </c>
    </row>
    <row r="228" spans="1:13">
      <c r="A228" t="s">
        <v>282</v>
      </c>
      <c r="B228" s="1">
        <v>45801</v>
      </c>
      <c r="C228" t="s">
        <v>37</v>
      </c>
      <c r="D228" t="s">
        <v>12</v>
      </c>
      <c r="E228">
        <v>4</v>
      </c>
      <c r="F228" t="str">
        <f>_xlfn.XLOOKUP(tblAnalysis[[#This Row],[Product ID]], tblProducts[Product ID], tblProducts[Product Name])</f>
        <v>Webcam</v>
      </c>
      <c r="G228" t="str">
        <f>_xlfn.XLOOKUP(tblAnalysis[[#This Row],[Product ID]], tblProducts[Product ID], tblProducts[Category])</f>
        <v>Electronics</v>
      </c>
      <c r="H228" s="22">
        <f>_xlfn.XLOOKUP(tblAnalysis[[#This Row],[Product ID]], tblProducts[Product ID], tblProducts[Unit Price])</f>
        <v>60</v>
      </c>
      <c r="I228" s="22">
        <f>_xlfn.XLOOKUP(tblAnalysis[[#This Row],[Product ID]], tblProducts[Product ID], tblProducts[Unit Cost])</f>
        <v>35</v>
      </c>
      <c r="J228" t="str">
        <f>_xlfn.XLOOKUP(tblAnalysis[[#This Row],[Rep ID]], tblReps[Rep ID], tblReps[Sales Rep])</f>
        <v>Mike</v>
      </c>
      <c r="K228" t="str">
        <f>_xlfn.XLOOKUP(tblAnalysis[[#This Row],[Rep ID]], tblReps[Rep ID], tblReps[Region])</f>
        <v>Los Angeles</v>
      </c>
      <c r="L228" s="22">
        <f>tblAnalysis[[#This Row],[Quantity]]*tblAnalysis[[#This Row],[Unit Price]]</f>
        <v>240</v>
      </c>
      <c r="M228" s="22">
        <f>tblAnalysis[[#This Row],[Quantity]]*(tblAnalysis[[#This Row],[Unit Price]]-tblAnalysis[[#This Row],[Unit Cost]])</f>
        <v>100</v>
      </c>
    </row>
    <row r="229" spans="1:13">
      <c r="A229" t="s">
        <v>283</v>
      </c>
      <c r="B229" s="1">
        <v>45802</v>
      </c>
      <c r="C229" t="s">
        <v>37</v>
      </c>
      <c r="D229" t="s">
        <v>5</v>
      </c>
      <c r="E229">
        <v>10</v>
      </c>
      <c r="F229" t="str">
        <f>_xlfn.XLOOKUP(tblAnalysis[[#This Row],[Product ID]], tblProducts[Product ID], tblProducts[Product Name])</f>
        <v>Headset</v>
      </c>
      <c r="G229" t="str">
        <f>_xlfn.XLOOKUP(tblAnalysis[[#This Row],[Product ID]], tblProducts[Product ID], tblProducts[Category])</f>
        <v>Electronics</v>
      </c>
      <c r="H229" s="22">
        <f>_xlfn.XLOOKUP(tblAnalysis[[#This Row],[Product ID]], tblProducts[Product ID], tblProducts[Unit Price])</f>
        <v>75</v>
      </c>
      <c r="I229" s="22">
        <f>_xlfn.XLOOKUP(tblAnalysis[[#This Row],[Product ID]], tblProducts[Product ID], tblProducts[Unit Cost])</f>
        <v>45</v>
      </c>
      <c r="J229" t="str">
        <f>_xlfn.XLOOKUP(tblAnalysis[[#This Row],[Rep ID]], tblReps[Rep ID], tblReps[Sales Rep])</f>
        <v>Mike</v>
      </c>
      <c r="K229" t="str">
        <f>_xlfn.XLOOKUP(tblAnalysis[[#This Row],[Rep ID]], tblReps[Rep ID], tblReps[Region])</f>
        <v>Los Angeles</v>
      </c>
      <c r="L229" s="22">
        <f>tblAnalysis[[#This Row],[Quantity]]*tblAnalysis[[#This Row],[Unit Price]]</f>
        <v>750</v>
      </c>
      <c r="M229" s="22">
        <f>tblAnalysis[[#This Row],[Quantity]]*(tblAnalysis[[#This Row],[Unit Price]]-tblAnalysis[[#This Row],[Unit Cost]])</f>
        <v>300</v>
      </c>
    </row>
    <row r="230" spans="1:13">
      <c r="A230" t="s">
        <v>284</v>
      </c>
      <c r="B230" s="1">
        <v>45803</v>
      </c>
      <c r="C230" t="s">
        <v>33</v>
      </c>
      <c r="D230" t="s">
        <v>8</v>
      </c>
      <c r="E230">
        <v>6</v>
      </c>
      <c r="F230" t="str">
        <f>_xlfn.XLOOKUP(tblAnalysis[[#This Row],[Product ID]], tblProducts[Product ID], tblProducts[Product Name])</f>
        <v>Mouse</v>
      </c>
      <c r="G230" t="str">
        <f>_xlfn.XLOOKUP(tblAnalysis[[#This Row],[Product ID]], tblProducts[Product ID], tblProducts[Category])</f>
        <v>Electronics</v>
      </c>
      <c r="H230" s="22">
        <f>_xlfn.XLOOKUP(tblAnalysis[[#This Row],[Product ID]], tblProducts[Product ID], tblProducts[Unit Price])</f>
        <v>25</v>
      </c>
      <c r="I230" s="22">
        <f>_xlfn.XLOOKUP(tblAnalysis[[#This Row],[Product ID]], tblProducts[Product ID], tblProducts[Unit Cost])</f>
        <v>12</v>
      </c>
      <c r="J230" t="str">
        <f>_xlfn.XLOOKUP(tblAnalysis[[#This Row],[Rep ID]], tblReps[Rep ID], tblReps[Sales Rep])</f>
        <v>John</v>
      </c>
      <c r="K230" t="str">
        <f>_xlfn.XLOOKUP(tblAnalysis[[#This Row],[Rep ID]], tblReps[Rep ID], tblReps[Region])</f>
        <v>New York</v>
      </c>
      <c r="L230" s="22">
        <f>tblAnalysis[[#This Row],[Quantity]]*tblAnalysis[[#This Row],[Unit Price]]</f>
        <v>150</v>
      </c>
      <c r="M230" s="22">
        <f>tblAnalysis[[#This Row],[Quantity]]*(tblAnalysis[[#This Row],[Unit Price]]-tblAnalysis[[#This Row],[Unit Cost]])</f>
        <v>78</v>
      </c>
    </row>
    <row r="231" spans="1:13">
      <c r="A231" t="s">
        <v>285</v>
      </c>
      <c r="B231" s="1">
        <v>45804</v>
      </c>
      <c r="C231" t="s">
        <v>37</v>
      </c>
      <c r="D231" t="s">
        <v>26</v>
      </c>
      <c r="E231">
        <v>2</v>
      </c>
      <c r="F231" t="str">
        <f>_xlfn.XLOOKUP(tblAnalysis[[#This Row],[Product ID]], tblProducts[Product ID], tblProducts[Product Name])</f>
        <v>Shoes</v>
      </c>
      <c r="G231" t="str">
        <f>_xlfn.XLOOKUP(tblAnalysis[[#This Row],[Product ID]], tblProducts[Product ID], tblProducts[Category])</f>
        <v>Fashion</v>
      </c>
      <c r="H231" s="22">
        <f>_xlfn.XLOOKUP(tblAnalysis[[#This Row],[Product ID]], tblProducts[Product ID], tblProducts[Unit Price])</f>
        <v>75</v>
      </c>
      <c r="I231" s="22">
        <f>_xlfn.XLOOKUP(tblAnalysis[[#This Row],[Product ID]], tblProducts[Product ID], tblProducts[Unit Cost])</f>
        <v>40</v>
      </c>
      <c r="J231" t="str">
        <f>_xlfn.XLOOKUP(tblAnalysis[[#This Row],[Rep ID]], tblReps[Rep ID], tblReps[Sales Rep])</f>
        <v>Mike</v>
      </c>
      <c r="K231" t="str">
        <f>_xlfn.XLOOKUP(tblAnalysis[[#This Row],[Rep ID]], tblReps[Rep ID], tblReps[Region])</f>
        <v>Los Angeles</v>
      </c>
      <c r="L231" s="22">
        <f>tblAnalysis[[#This Row],[Quantity]]*tblAnalysis[[#This Row],[Unit Price]]</f>
        <v>150</v>
      </c>
      <c r="M231" s="22">
        <f>tblAnalysis[[#This Row],[Quantity]]*(tblAnalysis[[#This Row],[Unit Price]]-tblAnalysis[[#This Row],[Unit Cost]])</f>
        <v>70</v>
      </c>
    </row>
    <row r="232" spans="1:13">
      <c r="A232" t="s">
        <v>286</v>
      </c>
      <c r="B232" s="1">
        <v>45804</v>
      </c>
      <c r="C232" t="s">
        <v>37</v>
      </c>
      <c r="D232" t="s">
        <v>17</v>
      </c>
      <c r="E232">
        <v>10</v>
      </c>
      <c r="F232" t="str">
        <f>_xlfn.XLOOKUP(tblAnalysis[[#This Row],[Product ID]], tblProducts[Product ID], tblProducts[Product Name])</f>
        <v>Iron</v>
      </c>
      <c r="G232" t="str">
        <f>_xlfn.XLOOKUP(tblAnalysis[[#This Row],[Product ID]], tblProducts[Product ID], tblProducts[Category])</f>
        <v>Home &amp; Living</v>
      </c>
      <c r="H232" s="22">
        <f>_xlfn.XLOOKUP(tblAnalysis[[#This Row],[Product ID]], tblProducts[Product ID], tblProducts[Unit Price])</f>
        <v>35</v>
      </c>
      <c r="I232" s="22">
        <f>_xlfn.XLOOKUP(tblAnalysis[[#This Row],[Product ID]], tblProducts[Product ID], tblProducts[Unit Cost])</f>
        <v>20</v>
      </c>
      <c r="J232" t="str">
        <f>_xlfn.XLOOKUP(tblAnalysis[[#This Row],[Rep ID]], tblReps[Rep ID], tblReps[Sales Rep])</f>
        <v>Mike</v>
      </c>
      <c r="K232" t="str">
        <f>_xlfn.XLOOKUP(tblAnalysis[[#This Row],[Rep ID]], tblReps[Rep ID], tblReps[Region])</f>
        <v>Los Angeles</v>
      </c>
      <c r="L232" s="22">
        <f>tblAnalysis[[#This Row],[Quantity]]*tblAnalysis[[#This Row],[Unit Price]]</f>
        <v>350</v>
      </c>
      <c r="M232" s="22">
        <f>tblAnalysis[[#This Row],[Quantity]]*(tblAnalysis[[#This Row],[Unit Price]]-tblAnalysis[[#This Row],[Unit Cost]])</f>
        <v>150</v>
      </c>
    </row>
    <row r="233" spans="1:13">
      <c r="A233" t="s">
        <v>287</v>
      </c>
      <c r="B233" s="1">
        <v>45804</v>
      </c>
      <c r="C233" t="s">
        <v>41</v>
      </c>
      <c r="D233" t="s">
        <v>21</v>
      </c>
      <c r="E233">
        <v>2</v>
      </c>
      <c r="F233" t="str">
        <f>_xlfn.XLOOKUP(tblAnalysis[[#This Row],[Product ID]], tblProducts[Product ID], tblProducts[Product Name])</f>
        <v>T-Shirt</v>
      </c>
      <c r="G233" t="str">
        <f>_xlfn.XLOOKUP(tblAnalysis[[#This Row],[Product ID]], tblProducts[Product ID], tblProducts[Category])</f>
        <v>Fashion</v>
      </c>
      <c r="H233" s="22">
        <f>_xlfn.XLOOKUP(tblAnalysis[[#This Row],[Product ID]], tblProducts[Product ID], tblProducts[Unit Price])</f>
        <v>20</v>
      </c>
      <c r="I233" s="22">
        <f>_xlfn.XLOOKUP(tblAnalysis[[#This Row],[Product ID]], tblProducts[Product ID], tblProducts[Unit Cost])</f>
        <v>8</v>
      </c>
      <c r="J233" t="str">
        <f>_xlfn.XLOOKUP(tblAnalysis[[#This Row],[Rep ID]], tblReps[Rep ID], tblReps[Sales Rep])</f>
        <v>Sarah</v>
      </c>
      <c r="K233" t="str">
        <f>_xlfn.XLOOKUP(tblAnalysis[[#This Row],[Rep ID]], tblReps[Rep ID], tblReps[Region])</f>
        <v>Chicago</v>
      </c>
      <c r="L233" s="22">
        <f>tblAnalysis[[#This Row],[Quantity]]*tblAnalysis[[#This Row],[Unit Price]]</f>
        <v>40</v>
      </c>
      <c r="M233" s="22">
        <f>tblAnalysis[[#This Row],[Quantity]]*(tblAnalysis[[#This Row],[Unit Price]]-tblAnalysis[[#This Row],[Unit Cost]])</f>
        <v>24</v>
      </c>
    </row>
    <row r="234" spans="1:13">
      <c r="A234" t="s">
        <v>288</v>
      </c>
      <c r="B234" s="1">
        <v>45804</v>
      </c>
      <c r="C234" t="s">
        <v>49</v>
      </c>
      <c r="D234" t="s">
        <v>12</v>
      </c>
      <c r="E234">
        <v>3</v>
      </c>
      <c r="F234" t="str">
        <f>_xlfn.XLOOKUP(tblAnalysis[[#This Row],[Product ID]], tblProducts[Product ID], tblProducts[Product Name])</f>
        <v>Webcam</v>
      </c>
      <c r="G234" t="str">
        <f>_xlfn.XLOOKUP(tblAnalysis[[#This Row],[Product ID]], tblProducts[Product ID], tblProducts[Category])</f>
        <v>Electronics</v>
      </c>
      <c r="H234" s="22">
        <f>_xlfn.XLOOKUP(tblAnalysis[[#This Row],[Product ID]], tblProducts[Product ID], tblProducts[Unit Price])</f>
        <v>60</v>
      </c>
      <c r="I234" s="22">
        <f>_xlfn.XLOOKUP(tblAnalysis[[#This Row],[Product ID]], tblProducts[Product ID], tblProducts[Unit Cost])</f>
        <v>35</v>
      </c>
      <c r="J234" t="str">
        <f>_xlfn.XLOOKUP(tblAnalysis[[#This Row],[Rep ID]], tblReps[Rep ID], tblReps[Sales Rep])</f>
        <v>Emma</v>
      </c>
      <c r="K234" t="str">
        <f>_xlfn.XLOOKUP(tblAnalysis[[#This Row],[Rep ID]], tblReps[Rep ID], tblReps[Region])</f>
        <v>Miami</v>
      </c>
      <c r="L234" s="22">
        <f>tblAnalysis[[#This Row],[Quantity]]*tblAnalysis[[#This Row],[Unit Price]]</f>
        <v>180</v>
      </c>
      <c r="M234" s="22">
        <f>tblAnalysis[[#This Row],[Quantity]]*(tblAnalysis[[#This Row],[Unit Price]]-tblAnalysis[[#This Row],[Unit Cost]])</f>
        <v>75</v>
      </c>
    </row>
    <row r="235" spans="1:13">
      <c r="A235" t="s">
        <v>289</v>
      </c>
      <c r="B235" s="1">
        <v>45804</v>
      </c>
      <c r="C235" t="s">
        <v>37</v>
      </c>
      <c r="D235" t="s">
        <v>24</v>
      </c>
      <c r="E235">
        <v>7</v>
      </c>
      <c r="F235" t="str">
        <f>_xlfn.XLOOKUP(tblAnalysis[[#This Row],[Product ID]], tblProducts[Product ID], tblProducts[Product Name])</f>
        <v>Pants</v>
      </c>
      <c r="G235" t="str">
        <f>_xlfn.XLOOKUP(tblAnalysis[[#This Row],[Product ID]], tblProducts[Product ID], tblProducts[Category])</f>
        <v>Fashion</v>
      </c>
      <c r="H235" s="22">
        <f>_xlfn.XLOOKUP(tblAnalysis[[#This Row],[Product ID]], tblProducts[Product ID], tblProducts[Unit Price])</f>
        <v>40</v>
      </c>
      <c r="I235" s="22">
        <f>_xlfn.XLOOKUP(tblAnalysis[[#This Row],[Product ID]], tblProducts[Product ID], tblProducts[Unit Cost])</f>
        <v>18</v>
      </c>
      <c r="J235" t="str">
        <f>_xlfn.XLOOKUP(tblAnalysis[[#This Row],[Rep ID]], tblReps[Rep ID], tblReps[Sales Rep])</f>
        <v>Mike</v>
      </c>
      <c r="K235" t="str">
        <f>_xlfn.XLOOKUP(tblAnalysis[[#This Row],[Rep ID]], tblReps[Rep ID], tblReps[Region])</f>
        <v>Los Angeles</v>
      </c>
      <c r="L235" s="22">
        <f>tblAnalysis[[#This Row],[Quantity]]*tblAnalysis[[#This Row],[Unit Price]]</f>
        <v>280</v>
      </c>
      <c r="M235" s="22">
        <f>tblAnalysis[[#This Row],[Quantity]]*(tblAnalysis[[#This Row],[Unit Price]]-tblAnalysis[[#This Row],[Unit Cost]])</f>
        <v>154</v>
      </c>
    </row>
    <row r="236" spans="1:13">
      <c r="A236" t="s">
        <v>290</v>
      </c>
      <c r="B236" s="1">
        <v>45805</v>
      </c>
      <c r="C236" t="s">
        <v>33</v>
      </c>
      <c r="D236" t="s">
        <v>21</v>
      </c>
      <c r="E236">
        <v>3</v>
      </c>
      <c r="F236" t="str">
        <f>_xlfn.XLOOKUP(tblAnalysis[[#This Row],[Product ID]], tblProducts[Product ID], tblProducts[Product Name])</f>
        <v>T-Shirt</v>
      </c>
      <c r="G236" t="str">
        <f>_xlfn.XLOOKUP(tblAnalysis[[#This Row],[Product ID]], tblProducts[Product ID], tblProducts[Category])</f>
        <v>Fashion</v>
      </c>
      <c r="H236" s="22">
        <f>_xlfn.XLOOKUP(tblAnalysis[[#This Row],[Product ID]], tblProducts[Product ID], tblProducts[Unit Price])</f>
        <v>20</v>
      </c>
      <c r="I236" s="22">
        <f>_xlfn.XLOOKUP(tblAnalysis[[#This Row],[Product ID]], tblProducts[Product ID], tblProducts[Unit Cost])</f>
        <v>8</v>
      </c>
      <c r="J236" t="str">
        <f>_xlfn.XLOOKUP(tblAnalysis[[#This Row],[Rep ID]], tblReps[Rep ID], tblReps[Sales Rep])</f>
        <v>John</v>
      </c>
      <c r="K236" t="str">
        <f>_xlfn.XLOOKUP(tblAnalysis[[#This Row],[Rep ID]], tblReps[Rep ID], tblReps[Region])</f>
        <v>New York</v>
      </c>
      <c r="L236" s="22">
        <f>tblAnalysis[[#This Row],[Quantity]]*tblAnalysis[[#This Row],[Unit Price]]</f>
        <v>60</v>
      </c>
      <c r="M236" s="22">
        <f>tblAnalysis[[#This Row],[Quantity]]*(tblAnalysis[[#This Row],[Unit Price]]-tblAnalysis[[#This Row],[Unit Cost]])</f>
        <v>36</v>
      </c>
    </row>
    <row r="237" spans="1:13">
      <c r="A237" t="s">
        <v>291</v>
      </c>
      <c r="B237" s="1">
        <v>45805</v>
      </c>
      <c r="C237" t="s">
        <v>45</v>
      </c>
      <c r="D237" t="s">
        <v>10</v>
      </c>
      <c r="E237">
        <v>6</v>
      </c>
      <c r="F237" t="str">
        <f>_xlfn.XLOOKUP(tblAnalysis[[#This Row],[Product ID]], tblProducts[Product ID], tblProducts[Product Name])</f>
        <v>Keyboard</v>
      </c>
      <c r="G237" t="str">
        <f>_xlfn.XLOOKUP(tblAnalysis[[#This Row],[Product ID]], tblProducts[Product ID], tblProducts[Category])</f>
        <v>Electronics</v>
      </c>
      <c r="H237" s="22">
        <f>_xlfn.XLOOKUP(tblAnalysis[[#This Row],[Product ID]], tblProducts[Product ID], tblProducts[Unit Price])</f>
        <v>40</v>
      </c>
      <c r="I237" s="22">
        <f>_xlfn.XLOOKUP(tblAnalysis[[#This Row],[Product ID]], tblProducts[Product ID], tblProducts[Unit Cost])</f>
        <v>22</v>
      </c>
      <c r="J237" t="str">
        <f>_xlfn.XLOOKUP(tblAnalysis[[#This Row],[Rep ID]], tblReps[Rep ID], tblReps[Sales Rep])</f>
        <v>David</v>
      </c>
      <c r="K237" t="str">
        <f>_xlfn.XLOOKUP(tblAnalysis[[#This Row],[Rep ID]], tblReps[Rep ID], tblReps[Region])</f>
        <v>Houston</v>
      </c>
      <c r="L237" s="22">
        <f>tblAnalysis[[#This Row],[Quantity]]*tblAnalysis[[#This Row],[Unit Price]]</f>
        <v>240</v>
      </c>
      <c r="M237" s="22">
        <f>tblAnalysis[[#This Row],[Quantity]]*(tblAnalysis[[#This Row],[Unit Price]]-tblAnalysis[[#This Row],[Unit Cost]])</f>
        <v>108</v>
      </c>
    </row>
    <row r="238" spans="1:13">
      <c r="A238" t="s">
        <v>292</v>
      </c>
      <c r="B238" s="1">
        <v>45807</v>
      </c>
      <c r="C238" t="s">
        <v>37</v>
      </c>
      <c r="D238" t="s">
        <v>14</v>
      </c>
      <c r="E238">
        <v>6</v>
      </c>
      <c r="F238" t="str">
        <f>_xlfn.XLOOKUP(tblAnalysis[[#This Row],[Product ID]], tblProducts[Product ID], tblProducts[Product Name])</f>
        <v>Blender</v>
      </c>
      <c r="G238" t="str">
        <f>_xlfn.XLOOKUP(tblAnalysis[[#This Row],[Product ID]], tblProducts[Product ID], tblProducts[Category])</f>
        <v>Home &amp; Living</v>
      </c>
      <c r="H238" s="22">
        <f>_xlfn.XLOOKUP(tblAnalysis[[#This Row],[Product ID]], tblProducts[Product ID], tblProducts[Unit Price])</f>
        <v>50</v>
      </c>
      <c r="I238" s="22">
        <f>_xlfn.XLOOKUP(tblAnalysis[[#This Row],[Product ID]], tblProducts[Product ID], tblProducts[Unit Cost])</f>
        <v>30</v>
      </c>
      <c r="J238" t="str">
        <f>_xlfn.XLOOKUP(tblAnalysis[[#This Row],[Rep ID]], tblReps[Rep ID], tblReps[Sales Rep])</f>
        <v>Mike</v>
      </c>
      <c r="K238" t="str">
        <f>_xlfn.XLOOKUP(tblAnalysis[[#This Row],[Rep ID]], tblReps[Rep ID], tblReps[Region])</f>
        <v>Los Angeles</v>
      </c>
      <c r="L238" s="22">
        <f>tblAnalysis[[#This Row],[Quantity]]*tblAnalysis[[#This Row],[Unit Price]]</f>
        <v>300</v>
      </c>
      <c r="M238" s="22">
        <f>tblAnalysis[[#This Row],[Quantity]]*(tblAnalysis[[#This Row],[Unit Price]]-tblAnalysis[[#This Row],[Unit Cost]])</f>
        <v>120</v>
      </c>
    </row>
    <row r="239" spans="1:13">
      <c r="A239" t="s">
        <v>293</v>
      </c>
      <c r="B239" s="1">
        <v>45807</v>
      </c>
      <c r="C239" t="s">
        <v>33</v>
      </c>
      <c r="D239" t="s">
        <v>12</v>
      </c>
      <c r="E239">
        <v>2</v>
      </c>
      <c r="F239" t="str">
        <f>_xlfn.XLOOKUP(tblAnalysis[[#This Row],[Product ID]], tblProducts[Product ID], tblProducts[Product Name])</f>
        <v>Webcam</v>
      </c>
      <c r="G239" t="str">
        <f>_xlfn.XLOOKUP(tblAnalysis[[#This Row],[Product ID]], tblProducts[Product ID], tblProducts[Category])</f>
        <v>Electronics</v>
      </c>
      <c r="H239" s="22">
        <f>_xlfn.XLOOKUP(tblAnalysis[[#This Row],[Product ID]], tblProducts[Product ID], tblProducts[Unit Price])</f>
        <v>60</v>
      </c>
      <c r="I239" s="22">
        <f>_xlfn.XLOOKUP(tblAnalysis[[#This Row],[Product ID]], tblProducts[Product ID], tblProducts[Unit Cost])</f>
        <v>35</v>
      </c>
      <c r="J239" t="str">
        <f>_xlfn.XLOOKUP(tblAnalysis[[#This Row],[Rep ID]], tblReps[Rep ID], tblReps[Sales Rep])</f>
        <v>John</v>
      </c>
      <c r="K239" t="str">
        <f>_xlfn.XLOOKUP(tblAnalysis[[#This Row],[Rep ID]], tblReps[Rep ID], tblReps[Region])</f>
        <v>New York</v>
      </c>
      <c r="L239" s="22">
        <f>tblAnalysis[[#This Row],[Quantity]]*tblAnalysis[[#This Row],[Unit Price]]</f>
        <v>120</v>
      </c>
      <c r="M239" s="22">
        <f>tblAnalysis[[#This Row],[Quantity]]*(tblAnalysis[[#This Row],[Unit Price]]-tblAnalysis[[#This Row],[Unit Cost]])</f>
        <v>50</v>
      </c>
    </row>
    <row r="240" spans="1:13">
      <c r="A240" t="s">
        <v>294</v>
      </c>
      <c r="B240" s="1">
        <v>45808</v>
      </c>
      <c r="C240" t="s">
        <v>41</v>
      </c>
      <c r="D240" t="s">
        <v>19</v>
      </c>
      <c r="E240">
        <v>2</v>
      </c>
      <c r="F240" t="str">
        <f>_xlfn.XLOOKUP(tblAnalysis[[#This Row],[Product ID]], tblProducts[Product ID], tblProducts[Product Name])</f>
        <v>Fan</v>
      </c>
      <c r="G240" t="str">
        <f>_xlfn.XLOOKUP(tblAnalysis[[#This Row],[Product ID]], tblProducts[Product ID], tblProducts[Category])</f>
        <v>Home &amp; Living</v>
      </c>
      <c r="H240" s="22">
        <f>_xlfn.XLOOKUP(tblAnalysis[[#This Row],[Product ID]], tblProducts[Product ID], tblProducts[Unit Price])</f>
        <v>45</v>
      </c>
      <c r="I240" s="22">
        <f>_xlfn.XLOOKUP(tblAnalysis[[#This Row],[Product ID]], tblProducts[Product ID], tblProducts[Unit Cost])</f>
        <v>25</v>
      </c>
      <c r="J240" t="str">
        <f>_xlfn.XLOOKUP(tblAnalysis[[#This Row],[Rep ID]], tblReps[Rep ID], tblReps[Sales Rep])</f>
        <v>Sarah</v>
      </c>
      <c r="K240" t="str">
        <f>_xlfn.XLOOKUP(tblAnalysis[[#This Row],[Rep ID]], tblReps[Rep ID], tblReps[Region])</f>
        <v>Chicago</v>
      </c>
      <c r="L240" s="22">
        <f>tblAnalysis[[#This Row],[Quantity]]*tblAnalysis[[#This Row],[Unit Price]]</f>
        <v>90</v>
      </c>
      <c r="M240" s="22">
        <f>tblAnalysis[[#This Row],[Quantity]]*(tblAnalysis[[#This Row],[Unit Price]]-tblAnalysis[[#This Row],[Unit Cost]])</f>
        <v>40</v>
      </c>
    </row>
    <row r="241" spans="1:13">
      <c r="A241" t="s">
        <v>295</v>
      </c>
      <c r="B241" s="1">
        <v>45808</v>
      </c>
      <c r="C241" t="s">
        <v>45</v>
      </c>
      <c r="D241" t="s">
        <v>5</v>
      </c>
      <c r="E241">
        <v>8</v>
      </c>
      <c r="F241" t="str">
        <f>_xlfn.XLOOKUP(tblAnalysis[[#This Row],[Product ID]], tblProducts[Product ID], tblProducts[Product Name])</f>
        <v>Headset</v>
      </c>
      <c r="G241" t="str">
        <f>_xlfn.XLOOKUP(tblAnalysis[[#This Row],[Product ID]], tblProducts[Product ID], tblProducts[Category])</f>
        <v>Electronics</v>
      </c>
      <c r="H241" s="22">
        <f>_xlfn.XLOOKUP(tblAnalysis[[#This Row],[Product ID]], tblProducts[Product ID], tblProducts[Unit Price])</f>
        <v>75</v>
      </c>
      <c r="I241" s="22">
        <f>_xlfn.XLOOKUP(tblAnalysis[[#This Row],[Product ID]], tblProducts[Product ID], tblProducts[Unit Cost])</f>
        <v>45</v>
      </c>
      <c r="J241" t="str">
        <f>_xlfn.XLOOKUP(tblAnalysis[[#This Row],[Rep ID]], tblReps[Rep ID], tblReps[Sales Rep])</f>
        <v>David</v>
      </c>
      <c r="K241" t="str">
        <f>_xlfn.XLOOKUP(tblAnalysis[[#This Row],[Rep ID]], tblReps[Rep ID], tblReps[Region])</f>
        <v>Houston</v>
      </c>
      <c r="L241" s="22">
        <f>tblAnalysis[[#This Row],[Quantity]]*tblAnalysis[[#This Row],[Unit Price]]</f>
        <v>600</v>
      </c>
      <c r="M241" s="22">
        <f>tblAnalysis[[#This Row],[Quantity]]*(tblAnalysis[[#This Row],[Unit Price]]-tblAnalysis[[#This Row],[Unit Cost]])</f>
        <v>240</v>
      </c>
    </row>
    <row r="242" spans="1:13">
      <c r="A242" t="s">
        <v>296</v>
      </c>
      <c r="B242" s="1">
        <v>45808</v>
      </c>
      <c r="C242" t="s">
        <v>33</v>
      </c>
      <c r="D242" t="s">
        <v>14</v>
      </c>
      <c r="E242">
        <v>7</v>
      </c>
      <c r="F242" t="str">
        <f>_xlfn.XLOOKUP(tblAnalysis[[#This Row],[Product ID]], tblProducts[Product ID], tblProducts[Product Name])</f>
        <v>Blender</v>
      </c>
      <c r="G242" t="str">
        <f>_xlfn.XLOOKUP(tblAnalysis[[#This Row],[Product ID]], tblProducts[Product ID], tblProducts[Category])</f>
        <v>Home &amp; Living</v>
      </c>
      <c r="H242" s="22">
        <f>_xlfn.XLOOKUP(tblAnalysis[[#This Row],[Product ID]], tblProducts[Product ID], tblProducts[Unit Price])</f>
        <v>50</v>
      </c>
      <c r="I242" s="22">
        <f>_xlfn.XLOOKUP(tblAnalysis[[#This Row],[Product ID]], tblProducts[Product ID], tblProducts[Unit Cost])</f>
        <v>30</v>
      </c>
      <c r="J242" t="str">
        <f>_xlfn.XLOOKUP(tblAnalysis[[#This Row],[Rep ID]], tblReps[Rep ID], tblReps[Sales Rep])</f>
        <v>John</v>
      </c>
      <c r="K242" t="str">
        <f>_xlfn.XLOOKUP(tblAnalysis[[#This Row],[Rep ID]], tblReps[Rep ID], tblReps[Region])</f>
        <v>New York</v>
      </c>
      <c r="L242" s="22">
        <f>tblAnalysis[[#This Row],[Quantity]]*tblAnalysis[[#This Row],[Unit Price]]</f>
        <v>350</v>
      </c>
      <c r="M242" s="22">
        <f>tblAnalysis[[#This Row],[Quantity]]*(tblAnalysis[[#This Row],[Unit Price]]-tblAnalysis[[#This Row],[Unit Cost]])</f>
        <v>140</v>
      </c>
    </row>
    <row r="243" spans="1:13">
      <c r="A243" t="s">
        <v>297</v>
      </c>
      <c r="B243" s="1">
        <v>45808</v>
      </c>
      <c r="C243" t="s">
        <v>49</v>
      </c>
      <c r="D243" t="s">
        <v>12</v>
      </c>
      <c r="E243">
        <v>5</v>
      </c>
      <c r="F243" t="str">
        <f>_xlfn.XLOOKUP(tblAnalysis[[#This Row],[Product ID]], tblProducts[Product ID], tblProducts[Product Name])</f>
        <v>Webcam</v>
      </c>
      <c r="G243" t="str">
        <f>_xlfn.XLOOKUP(tblAnalysis[[#This Row],[Product ID]], tblProducts[Product ID], tblProducts[Category])</f>
        <v>Electronics</v>
      </c>
      <c r="H243" s="22">
        <f>_xlfn.XLOOKUP(tblAnalysis[[#This Row],[Product ID]], tblProducts[Product ID], tblProducts[Unit Price])</f>
        <v>60</v>
      </c>
      <c r="I243" s="22">
        <f>_xlfn.XLOOKUP(tblAnalysis[[#This Row],[Product ID]], tblProducts[Product ID], tblProducts[Unit Cost])</f>
        <v>35</v>
      </c>
      <c r="J243" t="str">
        <f>_xlfn.XLOOKUP(tblAnalysis[[#This Row],[Rep ID]], tblReps[Rep ID], tblReps[Sales Rep])</f>
        <v>Emma</v>
      </c>
      <c r="K243" t="str">
        <f>_xlfn.XLOOKUP(tblAnalysis[[#This Row],[Rep ID]], tblReps[Rep ID], tblReps[Region])</f>
        <v>Miami</v>
      </c>
      <c r="L243" s="22">
        <f>tblAnalysis[[#This Row],[Quantity]]*tblAnalysis[[#This Row],[Unit Price]]</f>
        <v>300</v>
      </c>
      <c r="M243" s="22">
        <f>tblAnalysis[[#This Row],[Quantity]]*(tblAnalysis[[#This Row],[Unit Price]]-tblAnalysis[[#This Row],[Unit Cost]])</f>
        <v>125</v>
      </c>
    </row>
    <row r="244" spans="1:13">
      <c r="A244" t="s">
        <v>298</v>
      </c>
      <c r="B244" s="1">
        <v>45809</v>
      </c>
      <c r="C244" t="s">
        <v>45</v>
      </c>
      <c r="D244" t="s">
        <v>26</v>
      </c>
      <c r="E244">
        <v>5</v>
      </c>
      <c r="F244" t="str">
        <f>_xlfn.XLOOKUP(tblAnalysis[[#This Row],[Product ID]], tblProducts[Product ID], tblProducts[Product Name])</f>
        <v>Shoes</v>
      </c>
      <c r="G244" t="str">
        <f>_xlfn.XLOOKUP(tblAnalysis[[#This Row],[Product ID]], tblProducts[Product ID], tblProducts[Category])</f>
        <v>Fashion</v>
      </c>
      <c r="H244" s="22">
        <f>_xlfn.XLOOKUP(tblAnalysis[[#This Row],[Product ID]], tblProducts[Product ID], tblProducts[Unit Price])</f>
        <v>75</v>
      </c>
      <c r="I244" s="22">
        <f>_xlfn.XLOOKUP(tblAnalysis[[#This Row],[Product ID]], tblProducts[Product ID], tblProducts[Unit Cost])</f>
        <v>40</v>
      </c>
      <c r="J244" t="str">
        <f>_xlfn.XLOOKUP(tblAnalysis[[#This Row],[Rep ID]], tblReps[Rep ID], tblReps[Sales Rep])</f>
        <v>David</v>
      </c>
      <c r="K244" t="str">
        <f>_xlfn.XLOOKUP(tblAnalysis[[#This Row],[Rep ID]], tblReps[Rep ID], tblReps[Region])</f>
        <v>Houston</v>
      </c>
      <c r="L244" s="22">
        <f>tblAnalysis[[#This Row],[Quantity]]*tblAnalysis[[#This Row],[Unit Price]]</f>
        <v>375</v>
      </c>
      <c r="M244" s="22">
        <f>tblAnalysis[[#This Row],[Quantity]]*(tblAnalysis[[#This Row],[Unit Price]]-tblAnalysis[[#This Row],[Unit Cost]])</f>
        <v>175</v>
      </c>
    </row>
    <row r="245" spans="1:13">
      <c r="A245" t="s">
        <v>299</v>
      </c>
      <c r="B245" s="1">
        <v>45809</v>
      </c>
      <c r="C245" t="s">
        <v>45</v>
      </c>
      <c r="D245" t="s">
        <v>26</v>
      </c>
      <c r="E245">
        <v>4</v>
      </c>
      <c r="F245" t="str">
        <f>_xlfn.XLOOKUP(tblAnalysis[[#This Row],[Product ID]], tblProducts[Product ID], tblProducts[Product Name])</f>
        <v>Shoes</v>
      </c>
      <c r="G245" t="str">
        <f>_xlfn.XLOOKUP(tblAnalysis[[#This Row],[Product ID]], tblProducts[Product ID], tblProducts[Category])</f>
        <v>Fashion</v>
      </c>
      <c r="H245" s="22">
        <f>_xlfn.XLOOKUP(tblAnalysis[[#This Row],[Product ID]], tblProducts[Product ID], tblProducts[Unit Price])</f>
        <v>75</v>
      </c>
      <c r="I245" s="22">
        <f>_xlfn.XLOOKUP(tblAnalysis[[#This Row],[Product ID]], tblProducts[Product ID], tblProducts[Unit Cost])</f>
        <v>40</v>
      </c>
      <c r="J245" t="str">
        <f>_xlfn.XLOOKUP(tblAnalysis[[#This Row],[Rep ID]], tblReps[Rep ID], tblReps[Sales Rep])</f>
        <v>David</v>
      </c>
      <c r="K245" t="str">
        <f>_xlfn.XLOOKUP(tblAnalysis[[#This Row],[Rep ID]], tblReps[Rep ID], tblReps[Region])</f>
        <v>Houston</v>
      </c>
      <c r="L245" s="22">
        <f>tblAnalysis[[#This Row],[Quantity]]*tblAnalysis[[#This Row],[Unit Price]]</f>
        <v>300</v>
      </c>
      <c r="M245" s="22">
        <f>tblAnalysis[[#This Row],[Quantity]]*(tblAnalysis[[#This Row],[Unit Price]]-tblAnalysis[[#This Row],[Unit Cost]])</f>
        <v>140</v>
      </c>
    </row>
    <row r="246" spans="1:13">
      <c r="A246" t="s">
        <v>300</v>
      </c>
      <c r="B246" s="1">
        <v>45809</v>
      </c>
      <c r="C246" t="s">
        <v>45</v>
      </c>
      <c r="D246" t="s">
        <v>5</v>
      </c>
      <c r="E246">
        <v>9</v>
      </c>
      <c r="F246" t="str">
        <f>_xlfn.XLOOKUP(tblAnalysis[[#This Row],[Product ID]], tblProducts[Product ID], tblProducts[Product Name])</f>
        <v>Headset</v>
      </c>
      <c r="G246" t="str">
        <f>_xlfn.XLOOKUP(tblAnalysis[[#This Row],[Product ID]], tblProducts[Product ID], tblProducts[Category])</f>
        <v>Electronics</v>
      </c>
      <c r="H246" s="22">
        <f>_xlfn.XLOOKUP(tblAnalysis[[#This Row],[Product ID]], tblProducts[Product ID], tblProducts[Unit Price])</f>
        <v>75</v>
      </c>
      <c r="I246" s="22">
        <f>_xlfn.XLOOKUP(tblAnalysis[[#This Row],[Product ID]], tblProducts[Product ID], tblProducts[Unit Cost])</f>
        <v>45</v>
      </c>
      <c r="J246" t="str">
        <f>_xlfn.XLOOKUP(tblAnalysis[[#This Row],[Rep ID]], tblReps[Rep ID], tblReps[Sales Rep])</f>
        <v>David</v>
      </c>
      <c r="K246" t="str">
        <f>_xlfn.XLOOKUP(tblAnalysis[[#This Row],[Rep ID]], tblReps[Rep ID], tblReps[Region])</f>
        <v>Houston</v>
      </c>
      <c r="L246" s="22">
        <f>tblAnalysis[[#This Row],[Quantity]]*tblAnalysis[[#This Row],[Unit Price]]</f>
        <v>675</v>
      </c>
      <c r="M246" s="22">
        <f>tblAnalysis[[#This Row],[Quantity]]*(tblAnalysis[[#This Row],[Unit Price]]-tblAnalysis[[#This Row],[Unit Cost]])</f>
        <v>270</v>
      </c>
    </row>
    <row r="247" spans="1:13">
      <c r="A247" t="s">
        <v>301</v>
      </c>
      <c r="B247" s="1">
        <v>45809</v>
      </c>
      <c r="C247" t="s">
        <v>45</v>
      </c>
      <c r="D247" t="s">
        <v>19</v>
      </c>
      <c r="E247">
        <v>8</v>
      </c>
      <c r="F247" t="str">
        <f>_xlfn.XLOOKUP(tblAnalysis[[#This Row],[Product ID]], tblProducts[Product ID], tblProducts[Product Name])</f>
        <v>Fan</v>
      </c>
      <c r="G247" t="str">
        <f>_xlfn.XLOOKUP(tblAnalysis[[#This Row],[Product ID]], tblProducts[Product ID], tblProducts[Category])</f>
        <v>Home &amp; Living</v>
      </c>
      <c r="H247" s="22">
        <f>_xlfn.XLOOKUP(tblAnalysis[[#This Row],[Product ID]], tblProducts[Product ID], tblProducts[Unit Price])</f>
        <v>45</v>
      </c>
      <c r="I247" s="22">
        <f>_xlfn.XLOOKUP(tblAnalysis[[#This Row],[Product ID]], tblProducts[Product ID], tblProducts[Unit Cost])</f>
        <v>25</v>
      </c>
      <c r="J247" t="str">
        <f>_xlfn.XLOOKUP(tblAnalysis[[#This Row],[Rep ID]], tblReps[Rep ID], tblReps[Sales Rep])</f>
        <v>David</v>
      </c>
      <c r="K247" t="str">
        <f>_xlfn.XLOOKUP(tblAnalysis[[#This Row],[Rep ID]], tblReps[Rep ID], tblReps[Region])</f>
        <v>Houston</v>
      </c>
      <c r="L247" s="22">
        <f>tblAnalysis[[#This Row],[Quantity]]*tblAnalysis[[#This Row],[Unit Price]]</f>
        <v>360</v>
      </c>
      <c r="M247" s="22">
        <f>tblAnalysis[[#This Row],[Quantity]]*(tblAnalysis[[#This Row],[Unit Price]]-tblAnalysis[[#This Row],[Unit Cost]])</f>
        <v>160</v>
      </c>
    </row>
    <row r="248" spans="1:13">
      <c r="A248" t="s">
        <v>302</v>
      </c>
      <c r="B248" s="1">
        <v>45809</v>
      </c>
      <c r="C248" t="s">
        <v>33</v>
      </c>
      <c r="D248" t="s">
        <v>14</v>
      </c>
      <c r="E248">
        <v>3</v>
      </c>
      <c r="F248" t="str">
        <f>_xlfn.XLOOKUP(tblAnalysis[[#This Row],[Product ID]], tblProducts[Product ID], tblProducts[Product Name])</f>
        <v>Blender</v>
      </c>
      <c r="G248" t="str">
        <f>_xlfn.XLOOKUP(tblAnalysis[[#This Row],[Product ID]], tblProducts[Product ID], tblProducts[Category])</f>
        <v>Home &amp; Living</v>
      </c>
      <c r="H248" s="22">
        <f>_xlfn.XLOOKUP(tblAnalysis[[#This Row],[Product ID]], tblProducts[Product ID], tblProducts[Unit Price])</f>
        <v>50</v>
      </c>
      <c r="I248" s="22">
        <f>_xlfn.XLOOKUP(tblAnalysis[[#This Row],[Product ID]], tblProducts[Product ID], tblProducts[Unit Cost])</f>
        <v>30</v>
      </c>
      <c r="J248" t="str">
        <f>_xlfn.XLOOKUP(tblAnalysis[[#This Row],[Rep ID]], tblReps[Rep ID], tblReps[Sales Rep])</f>
        <v>John</v>
      </c>
      <c r="K248" t="str">
        <f>_xlfn.XLOOKUP(tblAnalysis[[#This Row],[Rep ID]], tblReps[Rep ID], tblReps[Region])</f>
        <v>New York</v>
      </c>
      <c r="L248" s="22">
        <f>tblAnalysis[[#This Row],[Quantity]]*tblAnalysis[[#This Row],[Unit Price]]</f>
        <v>150</v>
      </c>
      <c r="M248" s="22">
        <f>tblAnalysis[[#This Row],[Quantity]]*(tblAnalysis[[#This Row],[Unit Price]]-tblAnalysis[[#This Row],[Unit Cost]])</f>
        <v>60</v>
      </c>
    </row>
    <row r="249" spans="1:13">
      <c r="A249" t="s">
        <v>303</v>
      </c>
      <c r="B249" s="1">
        <v>45810</v>
      </c>
      <c r="C249" t="s">
        <v>37</v>
      </c>
      <c r="D249" t="s">
        <v>21</v>
      </c>
      <c r="E249">
        <v>4</v>
      </c>
      <c r="F249" t="str">
        <f>_xlfn.XLOOKUP(tblAnalysis[[#This Row],[Product ID]], tblProducts[Product ID], tblProducts[Product Name])</f>
        <v>T-Shirt</v>
      </c>
      <c r="G249" t="str">
        <f>_xlfn.XLOOKUP(tblAnalysis[[#This Row],[Product ID]], tblProducts[Product ID], tblProducts[Category])</f>
        <v>Fashion</v>
      </c>
      <c r="H249" s="22">
        <f>_xlfn.XLOOKUP(tblAnalysis[[#This Row],[Product ID]], tblProducts[Product ID], tblProducts[Unit Price])</f>
        <v>20</v>
      </c>
      <c r="I249" s="22">
        <f>_xlfn.XLOOKUP(tblAnalysis[[#This Row],[Product ID]], tblProducts[Product ID], tblProducts[Unit Cost])</f>
        <v>8</v>
      </c>
      <c r="J249" t="str">
        <f>_xlfn.XLOOKUP(tblAnalysis[[#This Row],[Rep ID]], tblReps[Rep ID], tblReps[Sales Rep])</f>
        <v>Mike</v>
      </c>
      <c r="K249" t="str">
        <f>_xlfn.XLOOKUP(tblAnalysis[[#This Row],[Rep ID]], tblReps[Rep ID], tblReps[Region])</f>
        <v>Los Angeles</v>
      </c>
      <c r="L249" s="22">
        <f>tblAnalysis[[#This Row],[Quantity]]*tblAnalysis[[#This Row],[Unit Price]]</f>
        <v>80</v>
      </c>
      <c r="M249" s="22">
        <f>tblAnalysis[[#This Row],[Quantity]]*(tblAnalysis[[#This Row],[Unit Price]]-tblAnalysis[[#This Row],[Unit Cost]])</f>
        <v>48</v>
      </c>
    </row>
    <row r="250" spans="1:13">
      <c r="A250" t="s">
        <v>304</v>
      </c>
      <c r="B250" s="1">
        <v>45810</v>
      </c>
      <c r="C250" t="s">
        <v>41</v>
      </c>
      <c r="D250" t="s">
        <v>10</v>
      </c>
      <c r="E250">
        <v>6</v>
      </c>
      <c r="F250" t="str">
        <f>_xlfn.XLOOKUP(tblAnalysis[[#This Row],[Product ID]], tblProducts[Product ID], tblProducts[Product Name])</f>
        <v>Keyboard</v>
      </c>
      <c r="G250" t="str">
        <f>_xlfn.XLOOKUP(tblAnalysis[[#This Row],[Product ID]], tblProducts[Product ID], tblProducts[Category])</f>
        <v>Electronics</v>
      </c>
      <c r="H250" s="22">
        <f>_xlfn.XLOOKUP(tblAnalysis[[#This Row],[Product ID]], tblProducts[Product ID], tblProducts[Unit Price])</f>
        <v>40</v>
      </c>
      <c r="I250" s="22">
        <f>_xlfn.XLOOKUP(tblAnalysis[[#This Row],[Product ID]], tblProducts[Product ID], tblProducts[Unit Cost])</f>
        <v>22</v>
      </c>
      <c r="J250" t="str">
        <f>_xlfn.XLOOKUP(tblAnalysis[[#This Row],[Rep ID]], tblReps[Rep ID], tblReps[Sales Rep])</f>
        <v>Sarah</v>
      </c>
      <c r="K250" t="str">
        <f>_xlfn.XLOOKUP(tblAnalysis[[#This Row],[Rep ID]], tblReps[Rep ID], tblReps[Region])</f>
        <v>Chicago</v>
      </c>
      <c r="L250" s="22">
        <f>tblAnalysis[[#This Row],[Quantity]]*tblAnalysis[[#This Row],[Unit Price]]</f>
        <v>240</v>
      </c>
      <c r="M250" s="22">
        <f>tblAnalysis[[#This Row],[Quantity]]*(tblAnalysis[[#This Row],[Unit Price]]-tblAnalysis[[#This Row],[Unit Cost]])</f>
        <v>108</v>
      </c>
    </row>
    <row r="251" spans="1:13">
      <c r="A251" t="s">
        <v>305</v>
      </c>
      <c r="B251" s="1">
        <v>45811</v>
      </c>
      <c r="C251" t="s">
        <v>37</v>
      </c>
      <c r="D251" t="s">
        <v>12</v>
      </c>
      <c r="E251">
        <v>2</v>
      </c>
      <c r="F251" t="str">
        <f>_xlfn.XLOOKUP(tblAnalysis[[#This Row],[Product ID]], tblProducts[Product ID], tblProducts[Product Name])</f>
        <v>Webcam</v>
      </c>
      <c r="G251" t="str">
        <f>_xlfn.XLOOKUP(tblAnalysis[[#This Row],[Product ID]], tblProducts[Product ID], tblProducts[Category])</f>
        <v>Electronics</v>
      </c>
      <c r="H251" s="22">
        <f>_xlfn.XLOOKUP(tblAnalysis[[#This Row],[Product ID]], tblProducts[Product ID], tblProducts[Unit Price])</f>
        <v>60</v>
      </c>
      <c r="I251" s="22">
        <f>_xlfn.XLOOKUP(tblAnalysis[[#This Row],[Product ID]], tblProducts[Product ID], tblProducts[Unit Cost])</f>
        <v>35</v>
      </c>
      <c r="J251" t="str">
        <f>_xlfn.XLOOKUP(tblAnalysis[[#This Row],[Rep ID]], tblReps[Rep ID], tblReps[Sales Rep])</f>
        <v>Mike</v>
      </c>
      <c r="K251" t="str">
        <f>_xlfn.XLOOKUP(tblAnalysis[[#This Row],[Rep ID]], tblReps[Rep ID], tblReps[Region])</f>
        <v>Los Angeles</v>
      </c>
      <c r="L251" s="22">
        <f>tblAnalysis[[#This Row],[Quantity]]*tblAnalysis[[#This Row],[Unit Price]]</f>
        <v>120</v>
      </c>
      <c r="M251" s="22">
        <f>tblAnalysis[[#This Row],[Quantity]]*(tblAnalysis[[#This Row],[Unit Price]]-tblAnalysis[[#This Row],[Unit Cost]])</f>
        <v>50</v>
      </c>
    </row>
    <row r="252" spans="1:13">
      <c r="A252" t="s">
        <v>306</v>
      </c>
      <c r="B252" s="1">
        <v>45812</v>
      </c>
      <c r="C252" t="s">
        <v>33</v>
      </c>
      <c r="D252" t="s">
        <v>17</v>
      </c>
      <c r="E252">
        <v>9</v>
      </c>
      <c r="F252" t="str">
        <f>_xlfn.XLOOKUP(tblAnalysis[[#This Row],[Product ID]], tblProducts[Product ID], tblProducts[Product Name])</f>
        <v>Iron</v>
      </c>
      <c r="G252" t="str">
        <f>_xlfn.XLOOKUP(tblAnalysis[[#This Row],[Product ID]], tblProducts[Product ID], tblProducts[Category])</f>
        <v>Home &amp; Living</v>
      </c>
      <c r="H252" s="22">
        <f>_xlfn.XLOOKUP(tblAnalysis[[#This Row],[Product ID]], tblProducts[Product ID], tblProducts[Unit Price])</f>
        <v>35</v>
      </c>
      <c r="I252" s="22">
        <f>_xlfn.XLOOKUP(tblAnalysis[[#This Row],[Product ID]], tblProducts[Product ID], tblProducts[Unit Cost])</f>
        <v>20</v>
      </c>
      <c r="J252" t="str">
        <f>_xlfn.XLOOKUP(tblAnalysis[[#This Row],[Rep ID]], tblReps[Rep ID], tblReps[Sales Rep])</f>
        <v>John</v>
      </c>
      <c r="K252" t="str">
        <f>_xlfn.XLOOKUP(tblAnalysis[[#This Row],[Rep ID]], tblReps[Rep ID], tblReps[Region])</f>
        <v>New York</v>
      </c>
      <c r="L252" s="22">
        <f>tblAnalysis[[#This Row],[Quantity]]*tblAnalysis[[#This Row],[Unit Price]]</f>
        <v>315</v>
      </c>
      <c r="M252" s="22">
        <f>tblAnalysis[[#This Row],[Quantity]]*(tblAnalysis[[#This Row],[Unit Price]]-tblAnalysis[[#This Row],[Unit Cost]])</f>
        <v>135</v>
      </c>
    </row>
    <row r="253" spans="1:13">
      <c r="A253" t="s">
        <v>307</v>
      </c>
      <c r="B253" s="1">
        <v>45814</v>
      </c>
      <c r="C253" t="s">
        <v>33</v>
      </c>
      <c r="D253" t="s">
        <v>10</v>
      </c>
      <c r="E253">
        <v>10</v>
      </c>
      <c r="F253" t="str">
        <f>_xlfn.XLOOKUP(tblAnalysis[[#This Row],[Product ID]], tblProducts[Product ID], tblProducts[Product Name])</f>
        <v>Keyboard</v>
      </c>
      <c r="G253" t="str">
        <f>_xlfn.XLOOKUP(tblAnalysis[[#This Row],[Product ID]], tblProducts[Product ID], tblProducts[Category])</f>
        <v>Electronics</v>
      </c>
      <c r="H253" s="22">
        <f>_xlfn.XLOOKUP(tblAnalysis[[#This Row],[Product ID]], tblProducts[Product ID], tblProducts[Unit Price])</f>
        <v>40</v>
      </c>
      <c r="I253" s="22">
        <f>_xlfn.XLOOKUP(tblAnalysis[[#This Row],[Product ID]], tblProducts[Product ID], tblProducts[Unit Cost])</f>
        <v>22</v>
      </c>
      <c r="J253" t="str">
        <f>_xlfn.XLOOKUP(tblAnalysis[[#This Row],[Rep ID]], tblReps[Rep ID], tblReps[Sales Rep])</f>
        <v>John</v>
      </c>
      <c r="K253" t="str">
        <f>_xlfn.XLOOKUP(tblAnalysis[[#This Row],[Rep ID]], tblReps[Rep ID], tblReps[Region])</f>
        <v>New York</v>
      </c>
      <c r="L253" s="22">
        <f>tblAnalysis[[#This Row],[Quantity]]*tblAnalysis[[#This Row],[Unit Price]]</f>
        <v>400</v>
      </c>
      <c r="M253" s="22">
        <f>tblAnalysis[[#This Row],[Quantity]]*(tblAnalysis[[#This Row],[Unit Price]]-tblAnalysis[[#This Row],[Unit Cost]])</f>
        <v>180</v>
      </c>
    </row>
    <row r="254" spans="1:13">
      <c r="A254" t="s">
        <v>308</v>
      </c>
      <c r="B254" s="1">
        <v>45815</v>
      </c>
      <c r="C254" t="s">
        <v>37</v>
      </c>
      <c r="D254" t="s">
        <v>5</v>
      </c>
      <c r="E254">
        <v>7</v>
      </c>
      <c r="F254" t="str">
        <f>_xlfn.XLOOKUP(tblAnalysis[[#This Row],[Product ID]], tblProducts[Product ID], tblProducts[Product Name])</f>
        <v>Headset</v>
      </c>
      <c r="G254" t="str">
        <f>_xlfn.XLOOKUP(tblAnalysis[[#This Row],[Product ID]], tblProducts[Product ID], tblProducts[Category])</f>
        <v>Electronics</v>
      </c>
      <c r="H254" s="22">
        <f>_xlfn.XLOOKUP(tblAnalysis[[#This Row],[Product ID]], tblProducts[Product ID], tblProducts[Unit Price])</f>
        <v>75</v>
      </c>
      <c r="I254" s="22">
        <f>_xlfn.XLOOKUP(tblAnalysis[[#This Row],[Product ID]], tblProducts[Product ID], tblProducts[Unit Cost])</f>
        <v>45</v>
      </c>
      <c r="J254" t="str">
        <f>_xlfn.XLOOKUP(tblAnalysis[[#This Row],[Rep ID]], tblReps[Rep ID], tblReps[Sales Rep])</f>
        <v>Mike</v>
      </c>
      <c r="K254" t="str">
        <f>_xlfn.XLOOKUP(tblAnalysis[[#This Row],[Rep ID]], tblReps[Rep ID], tblReps[Region])</f>
        <v>Los Angeles</v>
      </c>
      <c r="L254" s="22">
        <f>tblAnalysis[[#This Row],[Quantity]]*tblAnalysis[[#This Row],[Unit Price]]</f>
        <v>525</v>
      </c>
      <c r="M254" s="22">
        <f>tblAnalysis[[#This Row],[Quantity]]*(tblAnalysis[[#This Row],[Unit Price]]-tblAnalysis[[#This Row],[Unit Cost]])</f>
        <v>210</v>
      </c>
    </row>
    <row r="255" spans="1:13">
      <c r="A255" t="s">
        <v>309</v>
      </c>
      <c r="B255" s="1">
        <v>45815</v>
      </c>
      <c r="C255" t="s">
        <v>33</v>
      </c>
      <c r="D255" t="s">
        <v>21</v>
      </c>
      <c r="E255">
        <v>5</v>
      </c>
      <c r="F255" t="str">
        <f>_xlfn.XLOOKUP(tblAnalysis[[#This Row],[Product ID]], tblProducts[Product ID], tblProducts[Product Name])</f>
        <v>T-Shirt</v>
      </c>
      <c r="G255" t="str">
        <f>_xlfn.XLOOKUP(tblAnalysis[[#This Row],[Product ID]], tblProducts[Product ID], tblProducts[Category])</f>
        <v>Fashion</v>
      </c>
      <c r="H255" s="22">
        <f>_xlfn.XLOOKUP(tblAnalysis[[#This Row],[Product ID]], tblProducts[Product ID], tblProducts[Unit Price])</f>
        <v>20</v>
      </c>
      <c r="I255" s="22">
        <f>_xlfn.XLOOKUP(tblAnalysis[[#This Row],[Product ID]], tblProducts[Product ID], tblProducts[Unit Cost])</f>
        <v>8</v>
      </c>
      <c r="J255" t="str">
        <f>_xlfn.XLOOKUP(tblAnalysis[[#This Row],[Rep ID]], tblReps[Rep ID], tblReps[Sales Rep])</f>
        <v>John</v>
      </c>
      <c r="K255" t="str">
        <f>_xlfn.XLOOKUP(tblAnalysis[[#This Row],[Rep ID]], tblReps[Rep ID], tblReps[Region])</f>
        <v>New York</v>
      </c>
      <c r="L255" s="22">
        <f>tblAnalysis[[#This Row],[Quantity]]*tblAnalysis[[#This Row],[Unit Price]]</f>
        <v>100</v>
      </c>
      <c r="M255" s="22">
        <f>tblAnalysis[[#This Row],[Quantity]]*(tblAnalysis[[#This Row],[Unit Price]]-tblAnalysis[[#This Row],[Unit Cost]])</f>
        <v>60</v>
      </c>
    </row>
    <row r="256" spans="1:13">
      <c r="A256" t="s">
        <v>310</v>
      </c>
      <c r="B256" s="1">
        <v>45815</v>
      </c>
      <c r="C256" t="s">
        <v>41</v>
      </c>
      <c r="D256" t="s">
        <v>19</v>
      </c>
      <c r="E256">
        <v>10</v>
      </c>
      <c r="F256" t="str">
        <f>_xlfn.XLOOKUP(tblAnalysis[[#This Row],[Product ID]], tblProducts[Product ID], tblProducts[Product Name])</f>
        <v>Fan</v>
      </c>
      <c r="G256" t="str">
        <f>_xlfn.XLOOKUP(tblAnalysis[[#This Row],[Product ID]], tblProducts[Product ID], tblProducts[Category])</f>
        <v>Home &amp; Living</v>
      </c>
      <c r="H256" s="22">
        <f>_xlfn.XLOOKUP(tblAnalysis[[#This Row],[Product ID]], tblProducts[Product ID], tblProducts[Unit Price])</f>
        <v>45</v>
      </c>
      <c r="I256" s="22">
        <f>_xlfn.XLOOKUP(tblAnalysis[[#This Row],[Product ID]], tblProducts[Product ID], tblProducts[Unit Cost])</f>
        <v>25</v>
      </c>
      <c r="J256" t="str">
        <f>_xlfn.XLOOKUP(tblAnalysis[[#This Row],[Rep ID]], tblReps[Rep ID], tblReps[Sales Rep])</f>
        <v>Sarah</v>
      </c>
      <c r="K256" t="str">
        <f>_xlfn.XLOOKUP(tblAnalysis[[#This Row],[Rep ID]], tblReps[Rep ID], tblReps[Region])</f>
        <v>Chicago</v>
      </c>
      <c r="L256" s="22">
        <f>tblAnalysis[[#This Row],[Quantity]]*tblAnalysis[[#This Row],[Unit Price]]</f>
        <v>450</v>
      </c>
      <c r="M256" s="22">
        <f>tblAnalysis[[#This Row],[Quantity]]*(tblAnalysis[[#This Row],[Unit Price]]-tblAnalysis[[#This Row],[Unit Cost]])</f>
        <v>200</v>
      </c>
    </row>
    <row r="257" spans="1:13">
      <c r="A257" t="s">
        <v>311</v>
      </c>
      <c r="B257" s="1">
        <v>45817</v>
      </c>
      <c r="C257" t="s">
        <v>45</v>
      </c>
      <c r="D257" t="s">
        <v>24</v>
      </c>
      <c r="E257">
        <v>8</v>
      </c>
      <c r="F257" t="str">
        <f>_xlfn.XLOOKUP(tblAnalysis[[#This Row],[Product ID]], tblProducts[Product ID], tblProducts[Product Name])</f>
        <v>Pants</v>
      </c>
      <c r="G257" t="str">
        <f>_xlfn.XLOOKUP(tblAnalysis[[#This Row],[Product ID]], tblProducts[Product ID], tblProducts[Category])</f>
        <v>Fashion</v>
      </c>
      <c r="H257" s="22">
        <f>_xlfn.XLOOKUP(tblAnalysis[[#This Row],[Product ID]], tblProducts[Product ID], tblProducts[Unit Price])</f>
        <v>40</v>
      </c>
      <c r="I257" s="22">
        <f>_xlfn.XLOOKUP(tblAnalysis[[#This Row],[Product ID]], tblProducts[Product ID], tblProducts[Unit Cost])</f>
        <v>18</v>
      </c>
      <c r="J257" t="str">
        <f>_xlfn.XLOOKUP(tblAnalysis[[#This Row],[Rep ID]], tblReps[Rep ID], tblReps[Sales Rep])</f>
        <v>David</v>
      </c>
      <c r="K257" t="str">
        <f>_xlfn.XLOOKUP(tblAnalysis[[#This Row],[Rep ID]], tblReps[Rep ID], tblReps[Region])</f>
        <v>Houston</v>
      </c>
      <c r="L257" s="22">
        <f>tblAnalysis[[#This Row],[Quantity]]*tblAnalysis[[#This Row],[Unit Price]]</f>
        <v>320</v>
      </c>
      <c r="M257" s="22">
        <f>tblAnalysis[[#This Row],[Quantity]]*(tblAnalysis[[#This Row],[Unit Price]]-tblAnalysis[[#This Row],[Unit Cost]])</f>
        <v>176</v>
      </c>
    </row>
    <row r="258" spans="1:13">
      <c r="A258" t="s">
        <v>312</v>
      </c>
      <c r="B258" s="1">
        <v>45817</v>
      </c>
      <c r="C258" t="s">
        <v>37</v>
      </c>
      <c r="D258" t="s">
        <v>17</v>
      </c>
      <c r="E258">
        <v>5</v>
      </c>
      <c r="F258" t="str">
        <f>_xlfn.XLOOKUP(tblAnalysis[[#This Row],[Product ID]], tblProducts[Product ID], tblProducts[Product Name])</f>
        <v>Iron</v>
      </c>
      <c r="G258" t="str">
        <f>_xlfn.XLOOKUP(tblAnalysis[[#This Row],[Product ID]], tblProducts[Product ID], tblProducts[Category])</f>
        <v>Home &amp; Living</v>
      </c>
      <c r="H258" s="22">
        <f>_xlfn.XLOOKUP(tblAnalysis[[#This Row],[Product ID]], tblProducts[Product ID], tblProducts[Unit Price])</f>
        <v>35</v>
      </c>
      <c r="I258" s="22">
        <f>_xlfn.XLOOKUP(tblAnalysis[[#This Row],[Product ID]], tblProducts[Product ID], tblProducts[Unit Cost])</f>
        <v>20</v>
      </c>
      <c r="J258" t="str">
        <f>_xlfn.XLOOKUP(tblAnalysis[[#This Row],[Rep ID]], tblReps[Rep ID], tblReps[Sales Rep])</f>
        <v>Mike</v>
      </c>
      <c r="K258" t="str">
        <f>_xlfn.XLOOKUP(tblAnalysis[[#This Row],[Rep ID]], tblReps[Rep ID], tblReps[Region])</f>
        <v>Los Angeles</v>
      </c>
      <c r="L258" s="22">
        <f>tblAnalysis[[#This Row],[Quantity]]*tblAnalysis[[#This Row],[Unit Price]]</f>
        <v>175</v>
      </c>
      <c r="M258" s="22">
        <f>tblAnalysis[[#This Row],[Quantity]]*(tblAnalysis[[#This Row],[Unit Price]]-tblAnalysis[[#This Row],[Unit Cost]])</f>
        <v>75</v>
      </c>
    </row>
    <row r="259" spans="1:13">
      <c r="A259" t="s">
        <v>313</v>
      </c>
      <c r="B259" s="1">
        <v>45817</v>
      </c>
      <c r="C259" t="s">
        <v>37</v>
      </c>
      <c r="D259" t="s">
        <v>5</v>
      </c>
      <c r="E259">
        <v>10</v>
      </c>
      <c r="F259" t="str">
        <f>_xlfn.XLOOKUP(tblAnalysis[[#This Row],[Product ID]], tblProducts[Product ID], tblProducts[Product Name])</f>
        <v>Headset</v>
      </c>
      <c r="G259" t="str">
        <f>_xlfn.XLOOKUP(tblAnalysis[[#This Row],[Product ID]], tblProducts[Product ID], tblProducts[Category])</f>
        <v>Electronics</v>
      </c>
      <c r="H259" s="22">
        <f>_xlfn.XLOOKUP(tblAnalysis[[#This Row],[Product ID]], tblProducts[Product ID], tblProducts[Unit Price])</f>
        <v>75</v>
      </c>
      <c r="I259" s="22">
        <f>_xlfn.XLOOKUP(tblAnalysis[[#This Row],[Product ID]], tblProducts[Product ID], tblProducts[Unit Cost])</f>
        <v>45</v>
      </c>
      <c r="J259" t="str">
        <f>_xlfn.XLOOKUP(tblAnalysis[[#This Row],[Rep ID]], tblReps[Rep ID], tblReps[Sales Rep])</f>
        <v>Mike</v>
      </c>
      <c r="K259" t="str">
        <f>_xlfn.XLOOKUP(tblAnalysis[[#This Row],[Rep ID]], tblReps[Rep ID], tblReps[Region])</f>
        <v>Los Angeles</v>
      </c>
      <c r="L259" s="22">
        <f>tblAnalysis[[#This Row],[Quantity]]*tblAnalysis[[#This Row],[Unit Price]]</f>
        <v>750</v>
      </c>
      <c r="M259" s="22">
        <f>tblAnalysis[[#This Row],[Quantity]]*(tblAnalysis[[#This Row],[Unit Price]]-tblAnalysis[[#This Row],[Unit Cost]])</f>
        <v>300</v>
      </c>
    </row>
    <row r="260" spans="1:13">
      <c r="A260" t="s">
        <v>314</v>
      </c>
      <c r="B260" s="1">
        <v>45817</v>
      </c>
      <c r="C260" t="s">
        <v>33</v>
      </c>
      <c r="D260" t="s">
        <v>10</v>
      </c>
      <c r="E260">
        <v>2</v>
      </c>
      <c r="F260" t="str">
        <f>_xlfn.XLOOKUP(tblAnalysis[[#This Row],[Product ID]], tblProducts[Product ID], tblProducts[Product Name])</f>
        <v>Keyboard</v>
      </c>
      <c r="G260" t="str">
        <f>_xlfn.XLOOKUP(tblAnalysis[[#This Row],[Product ID]], tblProducts[Product ID], tblProducts[Category])</f>
        <v>Electronics</v>
      </c>
      <c r="H260" s="22">
        <f>_xlfn.XLOOKUP(tblAnalysis[[#This Row],[Product ID]], tblProducts[Product ID], tblProducts[Unit Price])</f>
        <v>40</v>
      </c>
      <c r="I260" s="22">
        <f>_xlfn.XLOOKUP(tblAnalysis[[#This Row],[Product ID]], tblProducts[Product ID], tblProducts[Unit Cost])</f>
        <v>22</v>
      </c>
      <c r="J260" t="str">
        <f>_xlfn.XLOOKUP(tblAnalysis[[#This Row],[Rep ID]], tblReps[Rep ID], tblReps[Sales Rep])</f>
        <v>John</v>
      </c>
      <c r="K260" t="str">
        <f>_xlfn.XLOOKUP(tblAnalysis[[#This Row],[Rep ID]], tblReps[Rep ID], tblReps[Region])</f>
        <v>New York</v>
      </c>
      <c r="L260" s="22">
        <f>tblAnalysis[[#This Row],[Quantity]]*tblAnalysis[[#This Row],[Unit Price]]</f>
        <v>80</v>
      </c>
      <c r="M260" s="22">
        <f>tblAnalysis[[#This Row],[Quantity]]*(tblAnalysis[[#This Row],[Unit Price]]-tblAnalysis[[#This Row],[Unit Cost]])</f>
        <v>36</v>
      </c>
    </row>
    <row r="261" spans="1:13">
      <c r="A261" t="s">
        <v>315</v>
      </c>
      <c r="B261" s="1">
        <v>45817</v>
      </c>
      <c r="C261" t="s">
        <v>37</v>
      </c>
      <c r="D261" t="s">
        <v>10</v>
      </c>
      <c r="E261">
        <v>8</v>
      </c>
      <c r="F261" t="str">
        <f>_xlfn.XLOOKUP(tblAnalysis[[#This Row],[Product ID]], tblProducts[Product ID], tblProducts[Product Name])</f>
        <v>Keyboard</v>
      </c>
      <c r="G261" t="str">
        <f>_xlfn.XLOOKUP(tblAnalysis[[#This Row],[Product ID]], tblProducts[Product ID], tblProducts[Category])</f>
        <v>Electronics</v>
      </c>
      <c r="H261" s="22">
        <f>_xlfn.XLOOKUP(tblAnalysis[[#This Row],[Product ID]], tblProducts[Product ID], tblProducts[Unit Price])</f>
        <v>40</v>
      </c>
      <c r="I261" s="22">
        <f>_xlfn.XLOOKUP(tblAnalysis[[#This Row],[Product ID]], tblProducts[Product ID], tblProducts[Unit Cost])</f>
        <v>22</v>
      </c>
      <c r="J261" t="str">
        <f>_xlfn.XLOOKUP(tblAnalysis[[#This Row],[Rep ID]], tblReps[Rep ID], tblReps[Sales Rep])</f>
        <v>Mike</v>
      </c>
      <c r="K261" t="str">
        <f>_xlfn.XLOOKUP(tblAnalysis[[#This Row],[Rep ID]], tblReps[Rep ID], tblReps[Region])</f>
        <v>Los Angeles</v>
      </c>
      <c r="L261" s="22">
        <f>tblAnalysis[[#This Row],[Quantity]]*tblAnalysis[[#This Row],[Unit Price]]</f>
        <v>320</v>
      </c>
      <c r="M261" s="22">
        <f>tblAnalysis[[#This Row],[Quantity]]*(tblAnalysis[[#This Row],[Unit Price]]-tblAnalysis[[#This Row],[Unit Cost]])</f>
        <v>144</v>
      </c>
    </row>
    <row r="262" spans="1:13">
      <c r="A262" t="s">
        <v>316</v>
      </c>
      <c r="B262" s="1">
        <v>45818</v>
      </c>
      <c r="C262" t="s">
        <v>45</v>
      </c>
      <c r="D262" t="s">
        <v>21</v>
      </c>
      <c r="E262">
        <v>5</v>
      </c>
      <c r="F262" t="str">
        <f>_xlfn.XLOOKUP(tblAnalysis[[#This Row],[Product ID]], tblProducts[Product ID], tblProducts[Product Name])</f>
        <v>T-Shirt</v>
      </c>
      <c r="G262" t="str">
        <f>_xlfn.XLOOKUP(tblAnalysis[[#This Row],[Product ID]], tblProducts[Product ID], tblProducts[Category])</f>
        <v>Fashion</v>
      </c>
      <c r="H262" s="22">
        <f>_xlfn.XLOOKUP(tblAnalysis[[#This Row],[Product ID]], tblProducts[Product ID], tblProducts[Unit Price])</f>
        <v>20</v>
      </c>
      <c r="I262" s="22">
        <f>_xlfn.XLOOKUP(tblAnalysis[[#This Row],[Product ID]], tblProducts[Product ID], tblProducts[Unit Cost])</f>
        <v>8</v>
      </c>
      <c r="J262" t="str">
        <f>_xlfn.XLOOKUP(tblAnalysis[[#This Row],[Rep ID]], tblReps[Rep ID], tblReps[Sales Rep])</f>
        <v>David</v>
      </c>
      <c r="K262" t="str">
        <f>_xlfn.XLOOKUP(tblAnalysis[[#This Row],[Rep ID]], tblReps[Rep ID], tblReps[Region])</f>
        <v>Houston</v>
      </c>
      <c r="L262" s="22">
        <f>tblAnalysis[[#This Row],[Quantity]]*tblAnalysis[[#This Row],[Unit Price]]</f>
        <v>100</v>
      </c>
      <c r="M262" s="22">
        <f>tblAnalysis[[#This Row],[Quantity]]*(tblAnalysis[[#This Row],[Unit Price]]-tblAnalysis[[#This Row],[Unit Cost]])</f>
        <v>60</v>
      </c>
    </row>
    <row r="263" spans="1:13">
      <c r="A263" t="s">
        <v>317</v>
      </c>
      <c r="B263" s="1">
        <v>45818</v>
      </c>
      <c r="C263" t="s">
        <v>49</v>
      </c>
      <c r="D263" t="s">
        <v>14</v>
      </c>
      <c r="E263">
        <v>2</v>
      </c>
      <c r="F263" t="str">
        <f>_xlfn.XLOOKUP(tblAnalysis[[#This Row],[Product ID]], tblProducts[Product ID], tblProducts[Product Name])</f>
        <v>Blender</v>
      </c>
      <c r="G263" t="str">
        <f>_xlfn.XLOOKUP(tblAnalysis[[#This Row],[Product ID]], tblProducts[Product ID], tblProducts[Category])</f>
        <v>Home &amp; Living</v>
      </c>
      <c r="H263" s="22">
        <f>_xlfn.XLOOKUP(tblAnalysis[[#This Row],[Product ID]], tblProducts[Product ID], tblProducts[Unit Price])</f>
        <v>50</v>
      </c>
      <c r="I263" s="22">
        <f>_xlfn.XLOOKUP(tblAnalysis[[#This Row],[Product ID]], tblProducts[Product ID], tblProducts[Unit Cost])</f>
        <v>30</v>
      </c>
      <c r="J263" t="str">
        <f>_xlfn.XLOOKUP(tblAnalysis[[#This Row],[Rep ID]], tblReps[Rep ID], tblReps[Sales Rep])</f>
        <v>Emma</v>
      </c>
      <c r="K263" t="str">
        <f>_xlfn.XLOOKUP(tblAnalysis[[#This Row],[Rep ID]], tblReps[Rep ID], tblReps[Region])</f>
        <v>Miami</v>
      </c>
      <c r="L263" s="22">
        <f>tblAnalysis[[#This Row],[Quantity]]*tblAnalysis[[#This Row],[Unit Price]]</f>
        <v>100</v>
      </c>
      <c r="M263" s="22">
        <f>tblAnalysis[[#This Row],[Quantity]]*(tblAnalysis[[#This Row],[Unit Price]]-tblAnalysis[[#This Row],[Unit Cost]])</f>
        <v>40</v>
      </c>
    </row>
    <row r="264" spans="1:13">
      <c r="A264" t="s">
        <v>318</v>
      </c>
      <c r="B264" s="1">
        <v>45818</v>
      </c>
      <c r="C264" t="s">
        <v>45</v>
      </c>
      <c r="D264" t="s">
        <v>17</v>
      </c>
      <c r="E264">
        <v>8</v>
      </c>
      <c r="F264" t="str">
        <f>_xlfn.XLOOKUP(tblAnalysis[[#This Row],[Product ID]], tblProducts[Product ID], tblProducts[Product Name])</f>
        <v>Iron</v>
      </c>
      <c r="G264" t="str">
        <f>_xlfn.XLOOKUP(tblAnalysis[[#This Row],[Product ID]], tblProducts[Product ID], tblProducts[Category])</f>
        <v>Home &amp; Living</v>
      </c>
      <c r="H264" s="22">
        <f>_xlfn.XLOOKUP(tblAnalysis[[#This Row],[Product ID]], tblProducts[Product ID], tblProducts[Unit Price])</f>
        <v>35</v>
      </c>
      <c r="I264" s="22">
        <f>_xlfn.XLOOKUP(tblAnalysis[[#This Row],[Product ID]], tblProducts[Product ID], tblProducts[Unit Cost])</f>
        <v>20</v>
      </c>
      <c r="J264" t="str">
        <f>_xlfn.XLOOKUP(tblAnalysis[[#This Row],[Rep ID]], tblReps[Rep ID], tblReps[Sales Rep])</f>
        <v>David</v>
      </c>
      <c r="K264" t="str">
        <f>_xlfn.XLOOKUP(tblAnalysis[[#This Row],[Rep ID]], tblReps[Rep ID], tblReps[Region])</f>
        <v>Houston</v>
      </c>
      <c r="L264" s="22">
        <f>tblAnalysis[[#This Row],[Quantity]]*tblAnalysis[[#This Row],[Unit Price]]</f>
        <v>280</v>
      </c>
      <c r="M264" s="22">
        <f>tblAnalysis[[#This Row],[Quantity]]*(tblAnalysis[[#This Row],[Unit Price]]-tblAnalysis[[#This Row],[Unit Cost]])</f>
        <v>120</v>
      </c>
    </row>
    <row r="265" spans="1:13">
      <c r="A265" t="s">
        <v>319</v>
      </c>
      <c r="B265" s="1">
        <v>45818</v>
      </c>
      <c r="C265" t="s">
        <v>45</v>
      </c>
      <c r="D265" t="s">
        <v>12</v>
      </c>
      <c r="E265">
        <v>8</v>
      </c>
      <c r="F265" t="str">
        <f>_xlfn.XLOOKUP(tblAnalysis[[#This Row],[Product ID]], tblProducts[Product ID], tblProducts[Product Name])</f>
        <v>Webcam</v>
      </c>
      <c r="G265" t="str">
        <f>_xlfn.XLOOKUP(tblAnalysis[[#This Row],[Product ID]], tblProducts[Product ID], tblProducts[Category])</f>
        <v>Electronics</v>
      </c>
      <c r="H265" s="22">
        <f>_xlfn.XLOOKUP(tblAnalysis[[#This Row],[Product ID]], tblProducts[Product ID], tblProducts[Unit Price])</f>
        <v>60</v>
      </c>
      <c r="I265" s="22">
        <f>_xlfn.XLOOKUP(tblAnalysis[[#This Row],[Product ID]], tblProducts[Product ID], tblProducts[Unit Cost])</f>
        <v>35</v>
      </c>
      <c r="J265" t="str">
        <f>_xlfn.XLOOKUP(tblAnalysis[[#This Row],[Rep ID]], tblReps[Rep ID], tblReps[Sales Rep])</f>
        <v>David</v>
      </c>
      <c r="K265" t="str">
        <f>_xlfn.XLOOKUP(tblAnalysis[[#This Row],[Rep ID]], tblReps[Rep ID], tblReps[Region])</f>
        <v>Houston</v>
      </c>
      <c r="L265" s="22">
        <f>tblAnalysis[[#This Row],[Quantity]]*tblAnalysis[[#This Row],[Unit Price]]</f>
        <v>480</v>
      </c>
      <c r="M265" s="22">
        <f>tblAnalysis[[#This Row],[Quantity]]*(tblAnalysis[[#This Row],[Unit Price]]-tblAnalysis[[#This Row],[Unit Cost]])</f>
        <v>200</v>
      </c>
    </row>
    <row r="266" spans="1:13">
      <c r="A266" t="s">
        <v>320</v>
      </c>
      <c r="B266" s="1">
        <v>45819</v>
      </c>
      <c r="C266" t="s">
        <v>49</v>
      </c>
      <c r="D266" t="s">
        <v>17</v>
      </c>
      <c r="E266">
        <v>5</v>
      </c>
      <c r="F266" t="str">
        <f>_xlfn.XLOOKUP(tblAnalysis[[#This Row],[Product ID]], tblProducts[Product ID], tblProducts[Product Name])</f>
        <v>Iron</v>
      </c>
      <c r="G266" t="str">
        <f>_xlfn.XLOOKUP(tblAnalysis[[#This Row],[Product ID]], tblProducts[Product ID], tblProducts[Category])</f>
        <v>Home &amp; Living</v>
      </c>
      <c r="H266" s="22">
        <f>_xlfn.XLOOKUP(tblAnalysis[[#This Row],[Product ID]], tblProducts[Product ID], tblProducts[Unit Price])</f>
        <v>35</v>
      </c>
      <c r="I266" s="22">
        <f>_xlfn.XLOOKUP(tblAnalysis[[#This Row],[Product ID]], tblProducts[Product ID], tblProducts[Unit Cost])</f>
        <v>20</v>
      </c>
      <c r="J266" t="str">
        <f>_xlfn.XLOOKUP(tblAnalysis[[#This Row],[Rep ID]], tblReps[Rep ID], tblReps[Sales Rep])</f>
        <v>Emma</v>
      </c>
      <c r="K266" t="str">
        <f>_xlfn.XLOOKUP(tblAnalysis[[#This Row],[Rep ID]], tblReps[Rep ID], tblReps[Region])</f>
        <v>Miami</v>
      </c>
      <c r="L266" s="22">
        <f>tblAnalysis[[#This Row],[Quantity]]*tblAnalysis[[#This Row],[Unit Price]]</f>
        <v>175</v>
      </c>
      <c r="M266" s="22">
        <f>tblAnalysis[[#This Row],[Quantity]]*(tblAnalysis[[#This Row],[Unit Price]]-tblAnalysis[[#This Row],[Unit Cost]])</f>
        <v>75</v>
      </c>
    </row>
    <row r="267" spans="1:13">
      <c r="A267" t="s">
        <v>321</v>
      </c>
      <c r="B267" s="1">
        <v>45820</v>
      </c>
      <c r="C267" t="s">
        <v>37</v>
      </c>
      <c r="D267" t="s">
        <v>24</v>
      </c>
      <c r="E267">
        <v>7</v>
      </c>
      <c r="F267" t="str">
        <f>_xlfn.XLOOKUP(tblAnalysis[[#This Row],[Product ID]], tblProducts[Product ID], tblProducts[Product Name])</f>
        <v>Pants</v>
      </c>
      <c r="G267" t="str">
        <f>_xlfn.XLOOKUP(tblAnalysis[[#This Row],[Product ID]], tblProducts[Product ID], tblProducts[Category])</f>
        <v>Fashion</v>
      </c>
      <c r="H267" s="22">
        <f>_xlfn.XLOOKUP(tblAnalysis[[#This Row],[Product ID]], tblProducts[Product ID], tblProducts[Unit Price])</f>
        <v>40</v>
      </c>
      <c r="I267" s="22">
        <f>_xlfn.XLOOKUP(tblAnalysis[[#This Row],[Product ID]], tblProducts[Product ID], tblProducts[Unit Cost])</f>
        <v>18</v>
      </c>
      <c r="J267" t="str">
        <f>_xlfn.XLOOKUP(tblAnalysis[[#This Row],[Rep ID]], tblReps[Rep ID], tblReps[Sales Rep])</f>
        <v>Mike</v>
      </c>
      <c r="K267" t="str">
        <f>_xlfn.XLOOKUP(tblAnalysis[[#This Row],[Rep ID]], tblReps[Rep ID], tblReps[Region])</f>
        <v>Los Angeles</v>
      </c>
      <c r="L267" s="22">
        <f>tblAnalysis[[#This Row],[Quantity]]*tblAnalysis[[#This Row],[Unit Price]]</f>
        <v>280</v>
      </c>
      <c r="M267" s="22">
        <f>tblAnalysis[[#This Row],[Quantity]]*(tblAnalysis[[#This Row],[Unit Price]]-tblAnalysis[[#This Row],[Unit Cost]])</f>
        <v>154</v>
      </c>
    </row>
    <row r="268" spans="1:13">
      <c r="A268" t="s">
        <v>322</v>
      </c>
      <c r="B268" s="1">
        <v>45820</v>
      </c>
      <c r="C268" t="s">
        <v>33</v>
      </c>
      <c r="D268" t="s">
        <v>8</v>
      </c>
      <c r="E268">
        <v>10</v>
      </c>
      <c r="F268" t="str">
        <f>_xlfn.XLOOKUP(tblAnalysis[[#This Row],[Product ID]], tblProducts[Product ID], tblProducts[Product Name])</f>
        <v>Mouse</v>
      </c>
      <c r="G268" t="str">
        <f>_xlfn.XLOOKUP(tblAnalysis[[#This Row],[Product ID]], tblProducts[Product ID], tblProducts[Category])</f>
        <v>Electronics</v>
      </c>
      <c r="H268" s="22">
        <f>_xlfn.XLOOKUP(tblAnalysis[[#This Row],[Product ID]], tblProducts[Product ID], tblProducts[Unit Price])</f>
        <v>25</v>
      </c>
      <c r="I268" s="22">
        <f>_xlfn.XLOOKUP(tblAnalysis[[#This Row],[Product ID]], tblProducts[Product ID], tblProducts[Unit Cost])</f>
        <v>12</v>
      </c>
      <c r="J268" t="str">
        <f>_xlfn.XLOOKUP(tblAnalysis[[#This Row],[Rep ID]], tblReps[Rep ID], tblReps[Sales Rep])</f>
        <v>John</v>
      </c>
      <c r="K268" t="str">
        <f>_xlfn.XLOOKUP(tblAnalysis[[#This Row],[Rep ID]], tblReps[Rep ID], tblReps[Region])</f>
        <v>New York</v>
      </c>
      <c r="L268" s="22">
        <f>tblAnalysis[[#This Row],[Quantity]]*tblAnalysis[[#This Row],[Unit Price]]</f>
        <v>250</v>
      </c>
      <c r="M268" s="22">
        <f>tblAnalysis[[#This Row],[Quantity]]*(tblAnalysis[[#This Row],[Unit Price]]-tblAnalysis[[#This Row],[Unit Cost]])</f>
        <v>130</v>
      </c>
    </row>
    <row r="269" spans="1:13">
      <c r="A269" t="s">
        <v>323</v>
      </c>
      <c r="B269" s="1">
        <v>45820</v>
      </c>
      <c r="C269" t="s">
        <v>45</v>
      </c>
      <c r="D269" t="s">
        <v>21</v>
      </c>
      <c r="E269">
        <v>2</v>
      </c>
      <c r="F269" t="str">
        <f>_xlfn.XLOOKUP(tblAnalysis[[#This Row],[Product ID]], tblProducts[Product ID], tblProducts[Product Name])</f>
        <v>T-Shirt</v>
      </c>
      <c r="G269" t="str">
        <f>_xlfn.XLOOKUP(tblAnalysis[[#This Row],[Product ID]], tblProducts[Product ID], tblProducts[Category])</f>
        <v>Fashion</v>
      </c>
      <c r="H269" s="22">
        <f>_xlfn.XLOOKUP(tblAnalysis[[#This Row],[Product ID]], tblProducts[Product ID], tblProducts[Unit Price])</f>
        <v>20</v>
      </c>
      <c r="I269" s="22">
        <f>_xlfn.XLOOKUP(tblAnalysis[[#This Row],[Product ID]], tblProducts[Product ID], tblProducts[Unit Cost])</f>
        <v>8</v>
      </c>
      <c r="J269" t="str">
        <f>_xlfn.XLOOKUP(tblAnalysis[[#This Row],[Rep ID]], tblReps[Rep ID], tblReps[Sales Rep])</f>
        <v>David</v>
      </c>
      <c r="K269" t="str">
        <f>_xlfn.XLOOKUP(tblAnalysis[[#This Row],[Rep ID]], tblReps[Rep ID], tblReps[Region])</f>
        <v>Houston</v>
      </c>
      <c r="L269" s="22">
        <f>tblAnalysis[[#This Row],[Quantity]]*tblAnalysis[[#This Row],[Unit Price]]</f>
        <v>40</v>
      </c>
      <c r="M269" s="22">
        <f>tblAnalysis[[#This Row],[Quantity]]*(tblAnalysis[[#This Row],[Unit Price]]-tblAnalysis[[#This Row],[Unit Cost]])</f>
        <v>24</v>
      </c>
    </row>
    <row r="270" spans="1:13">
      <c r="A270" t="s">
        <v>324</v>
      </c>
      <c r="B270" s="1">
        <v>45820</v>
      </c>
      <c r="C270" t="s">
        <v>41</v>
      </c>
      <c r="D270" t="s">
        <v>21</v>
      </c>
      <c r="E270">
        <v>10</v>
      </c>
      <c r="F270" t="str">
        <f>_xlfn.XLOOKUP(tblAnalysis[[#This Row],[Product ID]], tblProducts[Product ID], tblProducts[Product Name])</f>
        <v>T-Shirt</v>
      </c>
      <c r="G270" t="str">
        <f>_xlfn.XLOOKUP(tblAnalysis[[#This Row],[Product ID]], tblProducts[Product ID], tblProducts[Category])</f>
        <v>Fashion</v>
      </c>
      <c r="H270" s="22">
        <f>_xlfn.XLOOKUP(tblAnalysis[[#This Row],[Product ID]], tblProducts[Product ID], tblProducts[Unit Price])</f>
        <v>20</v>
      </c>
      <c r="I270" s="22">
        <f>_xlfn.XLOOKUP(tblAnalysis[[#This Row],[Product ID]], tblProducts[Product ID], tblProducts[Unit Cost])</f>
        <v>8</v>
      </c>
      <c r="J270" t="str">
        <f>_xlfn.XLOOKUP(tblAnalysis[[#This Row],[Rep ID]], tblReps[Rep ID], tblReps[Sales Rep])</f>
        <v>Sarah</v>
      </c>
      <c r="K270" t="str">
        <f>_xlfn.XLOOKUP(tblAnalysis[[#This Row],[Rep ID]], tblReps[Rep ID], tblReps[Region])</f>
        <v>Chicago</v>
      </c>
      <c r="L270" s="22">
        <f>tblAnalysis[[#This Row],[Quantity]]*tblAnalysis[[#This Row],[Unit Price]]</f>
        <v>200</v>
      </c>
      <c r="M270" s="22">
        <f>tblAnalysis[[#This Row],[Quantity]]*(tblAnalysis[[#This Row],[Unit Price]]-tblAnalysis[[#This Row],[Unit Cost]])</f>
        <v>120</v>
      </c>
    </row>
    <row r="271" spans="1:13">
      <c r="A271" t="s">
        <v>325</v>
      </c>
      <c r="B271" s="1">
        <v>45821</v>
      </c>
      <c r="C271" t="s">
        <v>45</v>
      </c>
      <c r="D271" t="s">
        <v>19</v>
      </c>
      <c r="E271">
        <v>3</v>
      </c>
      <c r="F271" t="str">
        <f>_xlfn.XLOOKUP(tblAnalysis[[#This Row],[Product ID]], tblProducts[Product ID], tblProducts[Product Name])</f>
        <v>Fan</v>
      </c>
      <c r="G271" t="str">
        <f>_xlfn.XLOOKUP(tblAnalysis[[#This Row],[Product ID]], tblProducts[Product ID], tblProducts[Category])</f>
        <v>Home &amp; Living</v>
      </c>
      <c r="H271" s="22">
        <f>_xlfn.XLOOKUP(tblAnalysis[[#This Row],[Product ID]], tblProducts[Product ID], tblProducts[Unit Price])</f>
        <v>45</v>
      </c>
      <c r="I271" s="22">
        <f>_xlfn.XLOOKUP(tblAnalysis[[#This Row],[Product ID]], tblProducts[Product ID], tblProducts[Unit Cost])</f>
        <v>25</v>
      </c>
      <c r="J271" t="str">
        <f>_xlfn.XLOOKUP(tblAnalysis[[#This Row],[Rep ID]], tblReps[Rep ID], tblReps[Sales Rep])</f>
        <v>David</v>
      </c>
      <c r="K271" t="str">
        <f>_xlfn.XLOOKUP(tblAnalysis[[#This Row],[Rep ID]], tblReps[Rep ID], tblReps[Region])</f>
        <v>Houston</v>
      </c>
      <c r="L271" s="22">
        <f>tblAnalysis[[#This Row],[Quantity]]*tblAnalysis[[#This Row],[Unit Price]]</f>
        <v>135</v>
      </c>
      <c r="M271" s="22">
        <f>tblAnalysis[[#This Row],[Quantity]]*(tblAnalysis[[#This Row],[Unit Price]]-tblAnalysis[[#This Row],[Unit Cost]])</f>
        <v>60</v>
      </c>
    </row>
    <row r="272" spans="1:13">
      <c r="A272" t="s">
        <v>326</v>
      </c>
      <c r="B272" s="1">
        <v>45822</v>
      </c>
      <c r="C272" t="s">
        <v>41</v>
      </c>
      <c r="D272" t="s">
        <v>8</v>
      </c>
      <c r="E272">
        <v>1</v>
      </c>
      <c r="F272" t="str">
        <f>_xlfn.XLOOKUP(tblAnalysis[[#This Row],[Product ID]], tblProducts[Product ID], tblProducts[Product Name])</f>
        <v>Mouse</v>
      </c>
      <c r="G272" t="str">
        <f>_xlfn.XLOOKUP(tblAnalysis[[#This Row],[Product ID]], tblProducts[Product ID], tblProducts[Category])</f>
        <v>Electronics</v>
      </c>
      <c r="H272" s="22">
        <f>_xlfn.XLOOKUP(tblAnalysis[[#This Row],[Product ID]], tblProducts[Product ID], tblProducts[Unit Price])</f>
        <v>25</v>
      </c>
      <c r="I272" s="22">
        <f>_xlfn.XLOOKUP(tblAnalysis[[#This Row],[Product ID]], tblProducts[Product ID], tblProducts[Unit Cost])</f>
        <v>12</v>
      </c>
      <c r="J272" t="str">
        <f>_xlfn.XLOOKUP(tblAnalysis[[#This Row],[Rep ID]], tblReps[Rep ID], tblReps[Sales Rep])</f>
        <v>Sarah</v>
      </c>
      <c r="K272" t="str">
        <f>_xlfn.XLOOKUP(tblAnalysis[[#This Row],[Rep ID]], tblReps[Rep ID], tblReps[Region])</f>
        <v>Chicago</v>
      </c>
      <c r="L272" s="22">
        <f>tblAnalysis[[#This Row],[Quantity]]*tblAnalysis[[#This Row],[Unit Price]]</f>
        <v>25</v>
      </c>
      <c r="M272" s="22">
        <f>tblAnalysis[[#This Row],[Quantity]]*(tblAnalysis[[#This Row],[Unit Price]]-tblAnalysis[[#This Row],[Unit Cost]])</f>
        <v>13</v>
      </c>
    </row>
    <row r="273" spans="1:13">
      <c r="A273" t="s">
        <v>327</v>
      </c>
      <c r="B273" s="1">
        <v>45824</v>
      </c>
      <c r="C273" t="s">
        <v>33</v>
      </c>
      <c r="D273" t="s">
        <v>21</v>
      </c>
      <c r="E273">
        <v>2</v>
      </c>
      <c r="F273" t="str">
        <f>_xlfn.XLOOKUP(tblAnalysis[[#This Row],[Product ID]], tblProducts[Product ID], tblProducts[Product Name])</f>
        <v>T-Shirt</v>
      </c>
      <c r="G273" t="str">
        <f>_xlfn.XLOOKUP(tblAnalysis[[#This Row],[Product ID]], tblProducts[Product ID], tblProducts[Category])</f>
        <v>Fashion</v>
      </c>
      <c r="H273" s="22">
        <f>_xlfn.XLOOKUP(tblAnalysis[[#This Row],[Product ID]], tblProducts[Product ID], tblProducts[Unit Price])</f>
        <v>20</v>
      </c>
      <c r="I273" s="22">
        <f>_xlfn.XLOOKUP(tblAnalysis[[#This Row],[Product ID]], tblProducts[Product ID], tblProducts[Unit Cost])</f>
        <v>8</v>
      </c>
      <c r="J273" t="str">
        <f>_xlfn.XLOOKUP(tblAnalysis[[#This Row],[Rep ID]], tblReps[Rep ID], tblReps[Sales Rep])</f>
        <v>John</v>
      </c>
      <c r="K273" t="str">
        <f>_xlfn.XLOOKUP(tblAnalysis[[#This Row],[Rep ID]], tblReps[Rep ID], tblReps[Region])</f>
        <v>New York</v>
      </c>
      <c r="L273" s="22">
        <f>tblAnalysis[[#This Row],[Quantity]]*tblAnalysis[[#This Row],[Unit Price]]</f>
        <v>40</v>
      </c>
      <c r="M273" s="22">
        <f>tblAnalysis[[#This Row],[Quantity]]*(tblAnalysis[[#This Row],[Unit Price]]-tblAnalysis[[#This Row],[Unit Cost]])</f>
        <v>24</v>
      </c>
    </row>
    <row r="274" spans="1:13">
      <c r="A274" t="s">
        <v>328</v>
      </c>
      <c r="B274" s="1">
        <v>45825</v>
      </c>
      <c r="C274" t="s">
        <v>37</v>
      </c>
      <c r="D274" t="s">
        <v>21</v>
      </c>
      <c r="E274">
        <v>7</v>
      </c>
      <c r="F274" t="str">
        <f>_xlfn.XLOOKUP(tblAnalysis[[#This Row],[Product ID]], tblProducts[Product ID], tblProducts[Product Name])</f>
        <v>T-Shirt</v>
      </c>
      <c r="G274" t="str">
        <f>_xlfn.XLOOKUP(tblAnalysis[[#This Row],[Product ID]], tblProducts[Product ID], tblProducts[Category])</f>
        <v>Fashion</v>
      </c>
      <c r="H274" s="22">
        <f>_xlfn.XLOOKUP(tblAnalysis[[#This Row],[Product ID]], tblProducts[Product ID], tblProducts[Unit Price])</f>
        <v>20</v>
      </c>
      <c r="I274" s="22">
        <f>_xlfn.XLOOKUP(tblAnalysis[[#This Row],[Product ID]], tblProducts[Product ID], tblProducts[Unit Cost])</f>
        <v>8</v>
      </c>
      <c r="J274" t="str">
        <f>_xlfn.XLOOKUP(tblAnalysis[[#This Row],[Rep ID]], tblReps[Rep ID], tblReps[Sales Rep])</f>
        <v>Mike</v>
      </c>
      <c r="K274" t="str">
        <f>_xlfn.XLOOKUP(tblAnalysis[[#This Row],[Rep ID]], tblReps[Rep ID], tblReps[Region])</f>
        <v>Los Angeles</v>
      </c>
      <c r="L274" s="22">
        <f>tblAnalysis[[#This Row],[Quantity]]*tblAnalysis[[#This Row],[Unit Price]]</f>
        <v>140</v>
      </c>
      <c r="M274" s="22">
        <f>tblAnalysis[[#This Row],[Quantity]]*(tblAnalysis[[#This Row],[Unit Price]]-tblAnalysis[[#This Row],[Unit Cost]])</f>
        <v>84</v>
      </c>
    </row>
    <row r="275" spans="1:13">
      <c r="A275" t="s">
        <v>329</v>
      </c>
      <c r="B275" s="1">
        <v>45826</v>
      </c>
      <c r="C275" t="s">
        <v>49</v>
      </c>
      <c r="D275" t="s">
        <v>8</v>
      </c>
      <c r="E275">
        <v>8</v>
      </c>
      <c r="F275" t="str">
        <f>_xlfn.XLOOKUP(tblAnalysis[[#This Row],[Product ID]], tblProducts[Product ID], tblProducts[Product Name])</f>
        <v>Mouse</v>
      </c>
      <c r="G275" t="str">
        <f>_xlfn.XLOOKUP(tblAnalysis[[#This Row],[Product ID]], tblProducts[Product ID], tblProducts[Category])</f>
        <v>Electronics</v>
      </c>
      <c r="H275" s="22">
        <f>_xlfn.XLOOKUP(tblAnalysis[[#This Row],[Product ID]], tblProducts[Product ID], tblProducts[Unit Price])</f>
        <v>25</v>
      </c>
      <c r="I275" s="22">
        <f>_xlfn.XLOOKUP(tblAnalysis[[#This Row],[Product ID]], tblProducts[Product ID], tblProducts[Unit Cost])</f>
        <v>12</v>
      </c>
      <c r="J275" t="str">
        <f>_xlfn.XLOOKUP(tblAnalysis[[#This Row],[Rep ID]], tblReps[Rep ID], tblReps[Sales Rep])</f>
        <v>Emma</v>
      </c>
      <c r="K275" t="str">
        <f>_xlfn.XLOOKUP(tblAnalysis[[#This Row],[Rep ID]], tblReps[Rep ID], tblReps[Region])</f>
        <v>Miami</v>
      </c>
      <c r="L275" s="22">
        <f>tblAnalysis[[#This Row],[Quantity]]*tblAnalysis[[#This Row],[Unit Price]]</f>
        <v>200</v>
      </c>
      <c r="M275" s="22">
        <f>tblAnalysis[[#This Row],[Quantity]]*(tblAnalysis[[#This Row],[Unit Price]]-tblAnalysis[[#This Row],[Unit Cost]])</f>
        <v>104</v>
      </c>
    </row>
    <row r="276" spans="1:13">
      <c r="A276" t="s">
        <v>330</v>
      </c>
      <c r="B276" s="1">
        <v>45827</v>
      </c>
      <c r="C276" t="s">
        <v>45</v>
      </c>
      <c r="D276" t="s">
        <v>19</v>
      </c>
      <c r="E276">
        <v>9</v>
      </c>
      <c r="F276" t="str">
        <f>_xlfn.XLOOKUP(tblAnalysis[[#This Row],[Product ID]], tblProducts[Product ID], tblProducts[Product Name])</f>
        <v>Fan</v>
      </c>
      <c r="G276" t="str">
        <f>_xlfn.XLOOKUP(tblAnalysis[[#This Row],[Product ID]], tblProducts[Product ID], tblProducts[Category])</f>
        <v>Home &amp; Living</v>
      </c>
      <c r="H276" s="22">
        <f>_xlfn.XLOOKUP(tblAnalysis[[#This Row],[Product ID]], tblProducts[Product ID], tblProducts[Unit Price])</f>
        <v>45</v>
      </c>
      <c r="I276" s="22">
        <f>_xlfn.XLOOKUP(tblAnalysis[[#This Row],[Product ID]], tblProducts[Product ID], tblProducts[Unit Cost])</f>
        <v>25</v>
      </c>
      <c r="J276" t="str">
        <f>_xlfn.XLOOKUP(tblAnalysis[[#This Row],[Rep ID]], tblReps[Rep ID], tblReps[Sales Rep])</f>
        <v>David</v>
      </c>
      <c r="K276" t="str">
        <f>_xlfn.XLOOKUP(tblAnalysis[[#This Row],[Rep ID]], tblReps[Rep ID], tblReps[Region])</f>
        <v>Houston</v>
      </c>
      <c r="L276" s="22">
        <f>tblAnalysis[[#This Row],[Quantity]]*tblAnalysis[[#This Row],[Unit Price]]</f>
        <v>405</v>
      </c>
      <c r="M276" s="22">
        <f>tblAnalysis[[#This Row],[Quantity]]*(tblAnalysis[[#This Row],[Unit Price]]-tblAnalysis[[#This Row],[Unit Cost]])</f>
        <v>180</v>
      </c>
    </row>
    <row r="277" spans="1:13">
      <c r="A277" t="s">
        <v>331</v>
      </c>
      <c r="B277" s="1">
        <v>45827</v>
      </c>
      <c r="C277" t="s">
        <v>37</v>
      </c>
      <c r="D277" t="s">
        <v>26</v>
      </c>
      <c r="E277">
        <v>8</v>
      </c>
      <c r="F277" t="str">
        <f>_xlfn.XLOOKUP(tblAnalysis[[#This Row],[Product ID]], tblProducts[Product ID], tblProducts[Product Name])</f>
        <v>Shoes</v>
      </c>
      <c r="G277" t="str">
        <f>_xlfn.XLOOKUP(tblAnalysis[[#This Row],[Product ID]], tblProducts[Product ID], tblProducts[Category])</f>
        <v>Fashion</v>
      </c>
      <c r="H277" s="22">
        <f>_xlfn.XLOOKUP(tblAnalysis[[#This Row],[Product ID]], tblProducts[Product ID], tblProducts[Unit Price])</f>
        <v>75</v>
      </c>
      <c r="I277" s="22">
        <f>_xlfn.XLOOKUP(tblAnalysis[[#This Row],[Product ID]], tblProducts[Product ID], tblProducts[Unit Cost])</f>
        <v>40</v>
      </c>
      <c r="J277" t="str">
        <f>_xlfn.XLOOKUP(tblAnalysis[[#This Row],[Rep ID]], tblReps[Rep ID], tblReps[Sales Rep])</f>
        <v>Mike</v>
      </c>
      <c r="K277" t="str">
        <f>_xlfn.XLOOKUP(tblAnalysis[[#This Row],[Rep ID]], tblReps[Rep ID], tblReps[Region])</f>
        <v>Los Angeles</v>
      </c>
      <c r="L277" s="22">
        <f>tblAnalysis[[#This Row],[Quantity]]*tblAnalysis[[#This Row],[Unit Price]]</f>
        <v>600</v>
      </c>
      <c r="M277" s="22">
        <f>tblAnalysis[[#This Row],[Quantity]]*(tblAnalysis[[#This Row],[Unit Price]]-tblAnalysis[[#This Row],[Unit Cost]])</f>
        <v>280</v>
      </c>
    </row>
    <row r="278" spans="1:13">
      <c r="A278" t="s">
        <v>332</v>
      </c>
      <c r="B278" s="1">
        <v>45827</v>
      </c>
      <c r="C278" t="s">
        <v>41</v>
      </c>
      <c r="D278" t="s">
        <v>21</v>
      </c>
      <c r="E278">
        <v>5</v>
      </c>
      <c r="F278" t="str">
        <f>_xlfn.XLOOKUP(tblAnalysis[[#This Row],[Product ID]], tblProducts[Product ID], tblProducts[Product Name])</f>
        <v>T-Shirt</v>
      </c>
      <c r="G278" t="str">
        <f>_xlfn.XLOOKUP(tblAnalysis[[#This Row],[Product ID]], tblProducts[Product ID], tblProducts[Category])</f>
        <v>Fashion</v>
      </c>
      <c r="H278" s="22">
        <f>_xlfn.XLOOKUP(tblAnalysis[[#This Row],[Product ID]], tblProducts[Product ID], tblProducts[Unit Price])</f>
        <v>20</v>
      </c>
      <c r="I278" s="22">
        <f>_xlfn.XLOOKUP(tblAnalysis[[#This Row],[Product ID]], tblProducts[Product ID], tblProducts[Unit Cost])</f>
        <v>8</v>
      </c>
      <c r="J278" t="str">
        <f>_xlfn.XLOOKUP(tblAnalysis[[#This Row],[Rep ID]], tblReps[Rep ID], tblReps[Sales Rep])</f>
        <v>Sarah</v>
      </c>
      <c r="K278" t="str">
        <f>_xlfn.XLOOKUP(tblAnalysis[[#This Row],[Rep ID]], tblReps[Rep ID], tblReps[Region])</f>
        <v>Chicago</v>
      </c>
      <c r="L278" s="22">
        <f>tblAnalysis[[#This Row],[Quantity]]*tblAnalysis[[#This Row],[Unit Price]]</f>
        <v>100</v>
      </c>
      <c r="M278" s="22">
        <f>tblAnalysis[[#This Row],[Quantity]]*(tblAnalysis[[#This Row],[Unit Price]]-tblAnalysis[[#This Row],[Unit Cost]])</f>
        <v>60</v>
      </c>
    </row>
    <row r="279" spans="1:13">
      <c r="A279" t="s">
        <v>333</v>
      </c>
      <c r="B279" s="1">
        <v>45827</v>
      </c>
      <c r="C279" t="s">
        <v>41</v>
      </c>
      <c r="D279" t="s">
        <v>17</v>
      </c>
      <c r="E279">
        <v>10</v>
      </c>
      <c r="F279" t="str">
        <f>_xlfn.XLOOKUP(tblAnalysis[[#This Row],[Product ID]], tblProducts[Product ID], tblProducts[Product Name])</f>
        <v>Iron</v>
      </c>
      <c r="G279" t="str">
        <f>_xlfn.XLOOKUP(tblAnalysis[[#This Row],[Product ID]], tblProducts[Product ID], tblProducts[Category])</f>
        <v>Home &amp; Living</v>
      </c>
      <c r="H279" s="22">
        <f>_xlfn.XLOOKUP(tblAnalysis[[#This Row],[Product ID]], tblProducts[Product ID], tblProducts[Unit Price])</f>
        <v>35</v>
      </c>
      <c r="I279" s="22">
        <f>_xlfn.XLOOKUP(tblAnalysis[[#This Row],[Product ID]], tblProducts[Product ID], tblProducts[Unit Cost])</f>
        <v>20</v>
      </c>
      <c r="J279" t="str">
        <f>_xlfn.XLOOKUP(tblAnalysis[[#This Row],[Rep ID]], tblReps[Rep ID], tblReps[Sales Rep])</f>
        <v>Sarah</v>
      </c>
      <c r="K279" t="str">
        <f>_xlfn.XLOOKUP(tblAnalysis[[#This Row],[Rep ID]], tblReps[Rep ID], tblReps[Region])</f>
        <v>Chicago</v>
      </c>
      <c r="L279" s="22">
        <f>tblAnalysis[[#This Row],[Quantity]]*tblAnalysis[[#This Row],[Unit Price]]</f>
        <v>350</v>
      </c>
      <c r="M279" s="22">
        <f>tblAnalysis[[#This Row],[Quantity]]*(tblAnalysis[[#This Row],[Unit Price]]-tblAnalysis[[#This Row],[Unit Cost]])</f>
        <v>150</v>
      </c>
    </row>
    <row r="280" spans="1:13">
      <c r="A280" t="s">
        <v>334</v>
      </c>
      <c r="B280" s="1">
        <v>45828</v>
      </c>
      <c r="C280" t="s">
        <v>37</v>
      </c>
      <c r="D280" t="s">
        <v>26</v>
      </c>
      <c r="E280">
        <v>8</v>
      </c>
      <c r="F280" t="str">
        <f>_xlfn.XLOOKUP(tblAnalysis[[#This Row],[Product ID]], tblProducts[Product ID], tblProducts[Product Name])</f>
        <v>Shoes</v>
      </c>
      <c r="G280" t="str">
        <f>_xlfn.XLOOKUP(tblAnalysis[[#This Row],[Product ID]], tblProducts[Product ID], tblProducts[Category])</f>
        <v>Fashion</v>
      </c>
      <c r="H280" s="22">
        <f>_xlfn.XLOOKUP(tblAnalysis[[#This Row],[Product ID]], tblProducts[Product ID], tblProducts[Unit Price])</f>
        <v>75</v>
      </c>
      <c r="I280" s="22">
        <f>_xlfn.XLOOKUP(tblAnalysis[[#This Row],[Product ID]], tblProducts[Product ID], tblProducts[Unit Cost])</f>
        <v>40</v>
      </c>
      <c r="J280" t="str">
        <f>_xlfn.XLOOKUP(tblAnalysis[[#This Row],[Rep ID]], tblReps[Rep ID], tblReps[Sales Rep])</f>
        <v>Mike</v>
      </c>
      <c r="K280" t="str">
        <f>_xlfn.XLOOKUP(tblAnalysis[[#This Row],[Rep ID]], tblReps[Rep ID], tblReps[Region])</f>
        <v>Los Angeles</v>
      </c>
      <c r="L280" s="22">
        <f>tblAnalysis[[#This Row],[Quantity]]*tblAnalysis[[#This Row],[Unit Price]]</f>
        <v>600</v>
      </c>
      <c r="M280" s="22">
        <f>tblAnalysis[[#This Row],[Quantity]]*(tblAnalysis[[#This Row],[Unit Price]]-tblAnalysis[[#This Row],[Unit Cost]])</f>
        <v>280</v>
      </c>
    </row>
    <row r="281" spans="1:13">
      <c r="A281" t="s">
        <v>335</v>
      </c>
      <c r="B281" s="1">
        <v>45829</v>
      </c>
      <c r="C281" t="s">
        <v>41</v>
      </c>
      <c r="D281" t="s">
        <v>21</v>
      </c>
      <c r="E281">
        <v>6</v>
      </c>
      <c r="F281" t="str">
        <f>_xlfn.XLOOKUP(tblAnalysis[[#This Row],[Product ID]], tblProducts[Product ID], tblProducts[Product Name])</f>
        <v>T-Shirt</v>
      </c>
      <c r="G281" t="str">
        <f>_xlfn.XLOOKUP(tblAnalysis[[#This Row],[Product ID]], tblProducts[Product ID], tblProducts[Category])</f>
        <v>Fashion</v>
      </c>
      <c r="H281" s="22">
        <f>_xlfn.XLOOKUP(tblAnalysis[[#This Row],[Product ID]], tblProducts[Product ID], tblProducts[Unit Price])</f>
        <v>20</v>
      </c>
      <c r="I281" s="22">
        <f>_xlfn.XLOOKUP(tblAnalysis[[#This Row],[Product ID]], tblProducts[Product ID], tblProducts[Unit Cost])</f>
        <v>8</v>
      </c>
      <c r="J281" t="str">
        <f>_xlfn.XLOOKUP(tblAnalysis[[#This Row],[Rep ID]], tblReps[Rep ID], tblReps[Sales Rep])</f>
        <v>Sarah</v>
      </c>
      <c r="K281" t="str">
        <f>_xlfn.XLOOKUP(tblAnalysis[[#This Row],[Rep ID]], tblReps[Rep ID], tblReps[Region])</f>
        <v>Chicago</v>
      </c>
      <c r="L281" s="22">
        <f>tblAnalysis[[#This Row],[Quantity]]*tblAnalysis[[#This Row],[Unit Price]]</f>
        <v>120</v>
      </c>
      <c r="M281" s="22">
        <f>tblAnalysis[[#This Row],[Quantity]]*(tblAnalysis[[#This Row],[Unit Price]]-tblAnalysis[[#This Row],[Unit Cost]])</f>
        <v>72</v>
      </c>
    </row>
    <row r="282" spans="1:13">
      <c r="A282" t="s">
        <v>336</v>
      </c>
      <c r="B282" s="1">
        <v>45829</v>
      </c>
      <c r="C282" t="s">
        <v>33</v>
      </c>
      <c r="D282" t="s">
        <v>14</v>
      </c>
      <c r="E282">
        <v>9</v>
      </c>
      <c r="F282" t="str">
        <f>_xlfn.XLOOKUP(tblAnalysis[[#This Row],[Product ID]], tblProducts[Product ID], tblProducts[Product Name])</f>
        <v>Blender</v>
      </c>
      <c r="G282" t="str">
        <f>_xlfn.XLOOKUP(tblAnalysis[[#This Row],[Product ID]], tblProducts[Product ID], tblProducts[Category])</f>
        <v>Home &amp; Living</v>
      </c>
      <c r="H282" s="22">
        <f>_xlfn.XLOOKUP(tblAnalysis[[#This Row],[Product ID]], tblProducts[Product ID], tblProducts[Unit Price])</f>
        <v>50</v>
      </c>
      <c r="I282" s="22">
        <f>_xlfn.XLOOKUP(tblAnalysis[[#This Row],[Product ID]], tblProducts[Product ID], tblProducts[Unit Cost])</f>
        <v>30</v>
      </c>
      <c r="J282" t="str">
        <f>_xlfn.XLOOKUP(tblAnalysis[[#This Row],[Rep ID]], tblReps[Rep ID], tblReps[Sales Rep])</f>
        <v>John</v>
      </c>
      <c r="K282" t="str">
        <f>_xlfn.XLOOKUP(tblAnalysis[[#This Row],[Rep ID]], tblReps[Rep ID], tblReps[Region])</f>
        <v>New York</v>
      </c>
      <c r="L282" s="22">
        <f>tblAnalysis[[#This Row],[Quantity]]*tblAnalysis[[#This Row],[Unit Price]]</f>
        <v>450</v>
      </c>
      <c r="M282" s="22">
        <f>tblAnalysis[[#This Row],[Quantity]]*(tblAnalysis[[#This Row],[Unit Price]]-tblAnalysis[[#This Row],[Unit Cost]])</f>
        <v>180</v>
      </c>
    </row>
    <row r="283" spans="1:13">
      <c r="A283" t="s">
        <v>337</v>
      </c>
      <c r="B283" s="1">
        <v>45829</v>
      </c>
      <c r="C283" t="s">
        <v>49</v>
      </c>
      <c r="D283" t="s">
        <v>12</v>
      </c>
      <c r="E283">
        <v>2</v>
      </c>
      <c r="F283" t="str">
        <f>_xlfn.XLOOKUP(tblAnalysis[[#This Row],[Product ID]], tblProducts[Product ID], tblProducts[Product Name])</f>
        <v>Webcam</v>
      </c>
      <c r="G283" t="str">
        <f>_xlfn.XLOOKUP(tblAnalysis[[#This Row],[Product ID]], tblProducts[Product ID], tblProducts[Category])</f>
        <v>Electronics</v>
      </c>
      <c r="H283" s="22">
        <f>_xlfn.XLOOKUP(tblAnalysis[[#This Row],[Product ID]], tblProducts[Product ID], tblProducts[Unit Price])</f>
        <v>60</v>
      </c>
      <c r="I283" s="22">
        <f>_xlfn.XLOOKUP(tblAnalysis[[#This Row],[Product ID]], tblProducts[Product ID], tblProducts[Unit Cost])</f>
        <v>35</v>
      </c>
      <c r="J283" t="str">
        <f>_xlfn.XLOOKUP(tblAnalysis[[#This Row],[Rep ID]], tblReps[Rep ID], tblReps[Sales Rep])</f>
        <v>Emma</v>
      </c>
      <c r="K283" t="str">
        <f>_xlfn.XLOOKUP(tblAnalysis[[#This Row],[Rep ID]], tblReps[Rep ID], tblReps[Region])</f>
        <v>Miami</v>
      </c>
      <c r="L283" s="22">
        <f>tblAnalysis[[#This Row],[Quantity]]*tblAnalysis[[#This Row],[Unit Price]]</f>
        <v>120</v>
      </c>
      <c r="M283" s="22">
        <f>tblAnalysis[[#This Row],[Quantity]]*(tblAnalysis[[#This Row],[Unit Price]]-tblAnalysis[[#This Row],[Unit Cost]])</f>
        <v>50</v>
      </c>
    </row>
    <row r="284" spans="1:13">
      <c r="A284" t="s">
        <v>338</v>
      </c>
      <c r="B284" s="1">
        <v>45829</v>
      </c>
      <c r="C284" t="s">
        <v>45</v>
      </c>
      <c r="D284" t="s">
        <v>10</v>
      </c>
      <c r="E284">
        <v>3</v>
      </c>
      <c r="F284" t="str">
        <f>_xlfn.XLOOKUP(tblAnalysis[[#This Row],[Product ID]], tblProducts[Product ID], tblProducts[Product Name])</f>
        <v>Keyboard</v>
      </c>
      <c r="G284" t="str">
        <f>_xlfn.XLOOKUP(tblAnalysis[[#This Row],[Product ID]], tblProducts[Product ID], tblProducts[Category])</f>
        <v>Electronics</v>
      </c>
      <c r="H284" s="22">
        <f>_xlfn.XLOOKUP(tblAnalysis[[#This Row],[Product ID]], tblProducts[Product ID], tblProducts[Unit Price])</f>
        <v>40</v>
      </c>
      <c r="I284" s="22">
        <f>_xlfn.XLOOKUP(tblAnalysis[[#This Row],[Product ID]], tblProducts[Product ID], tblProducts[Unit Cost])</f>
        <v>22</v>
      </c>
      <c r="J284" t="str">
        <f>_xlfn.XLOOKUP(tblAnalysis[[#This Row],[Rep ID]], tblReps[Rep ID], tblReps[Sales Rep])</f>
        <v>David</v>
      </c>
      <c r="K284" t="str">
        <f>_xlfn.XLOOKUP(tblAnalysis[[#This Row],[Rep ID]], tblReps[Rep ID], tblReps[Region])</f>
        <v>Houston</v>
      </c>
      <c r="L284" s="22">
        <f>tblAnalysis[[#This Row],[Quantity]]*tblAnalysis[[#This Row],[Unit Price]]</f>
        <v>120</v>
      </c>
      <c r="M284" s="22">
        <f>tblAnalysis[[#This Row],[Quantity]]*(tblAnalysis[[#This Row],[Unit Price]]-tblAnalysis[[#This Row],[Unit Cost]])</f>
        <v>54</v>
      </c>
    </row>
    <row r="285" spans="1:13">
      <c r="A285" t="s">
        <v>339</v>
      </c>
      <c r="B285" s="1">
        <v>45830</v>
      </c>
      <c r="C285" t="s">
        <v>41</v>
      </c>
      <c r="D285" t="s">
        <v>10</v>
      </c>
      <c r="E285">
        <v>6</v>
      </c>
      <c r="F285" t="str">
        <f>_xlfn.XLOOKUP(tblAnalysis[[#This Row],[Product ID]], tblProducts[Product ID], tblProducts[Product Name])</f>
        <v>Keyboard</v>
      </c>
      <c r="G285" t="str">
        <f>_xlfn.XLOOKUP(tblAnalysis[[#This Row],[Product ID]], tblProducts[Product ID], tblProducts[Category])</f>
        <v>Electronics</v>
      </c>
      <c r="H285" s="22">
        <f>_xlfn.XLOOKUP(tblAnalysis[[#This Row],[Product ID]], tblProducts[Product ID], tblProducts[Unit Price])</f>
        <v>40</v>
      </c>
      <c r="I285" s="22">
        <f>_xlfn.XLOOKUP(tblAnalysis[[#This Row],[Product ID]], tblProducts[Product ID], tblProducts[Unit Cost])</f>
        <v>22</v>
      </c>
      <c r="J285" t="str">
        <f>_xlfn.XLOOKUP(tblAnalysis[[#This Row],[Rep ID]], tblReps[Rep ID], tblReps[Sales Rep])</f>
        <v>Sarah</v>
      </c>
      <c r="K285" t="str">
        <f>_xlfn.XLOOKUP(tblAnalysis[[#This Row],[Rep ID]], tblReps[Rep ID], tblReps[Region])</f>
        <v>Chicago</v>
      </c>
      <c r="L285" s="22">
        <f>tblAnalysis[[#This Row],[Quantity]]*tblAnalysis[[#This Row],[Unit Price]]</f>
        <v>240</v>
      </c>
      <c r="M285" s="22">
        <f>tblAnalysis[[#This Row],[Quantity]]*(tblAnalysis[[#This Row],[Unit Price]]-tblAnalysis[[#This Row],[Unit Cost]])</f>
        <v>108</v>
      </c>
    </row>
    <row r="286" spans="1:13">
      <c r="A286" t="s">
        <v>340</v>
      </c>
      <c r="B286" s="1">
        <v>45831</v>
      </c>
      <c r="C286" t="s">
        <v>49</v>
      </c>
      <c r="D286" t="s">
        <v>5</v>
      </c>
      <c r="E286">
        <v>4</v>
      </c>
      <c r="F286" t="str">
        <f>_xlfn.XLOOKUP(tblAnalysis[[#This Row],[Product ID]], tblProducts[Product ID], tblProducts[Product Name])</f>
        <v>Headset</v>
      </c>
      <c r="G286" t="str">
        <f>_xlfn.XLOOKUP(tblAnalysis[[#This Row],[Product ID]], tblProducts[Product ID], tblProducts[Category])</f>
        <v>Electronics</v>
      </c>
      <c r="H286" s="22">
        <f>_xlfn.XLOOKUP(tblAnalysis[[#This Row],[Product ID]], tblProducts[Product ID], tblProducts[Unit Price])</f>
        <v>75</v>
      </c>
      <c r="I286" s="22">
        <f>_xlfn.XLOOKUP(tblAnalysis[[#This Row],[Product ID]], tblProducts[Product ID], tblProducts[Unit Cost])</f>
        <v>45</v>
      </c>
      <c r="J286" t="str">
        <f>_xlfn.XLOOKUP(tblAnalysis[[#This Row],[Rep ID]], tblReps[Rep ID], tblReps[Sales Rep])</f>
        <v>Emma</v>
      </c>
      <c r="K286" t="str">
        <f>_xlfn.XLOOKUP(tblAnalysis[[#This Row],[Rep ID]], tblReps[Rep ID], tblReps[Region])</f>
        <v>Miami</v>
      </c>
      <c r="L286" s="22">
        <f>tblAnalysis[[#This Row],[Quantity]]*tblAnalysis[[#This Row],[Unit Price]]</f>
        <v>300</v>
      </c>
      <c r="M286" s="22">
        <f>tblAnalysis[[#This Row],[Quantity]]*(tblAnalysis[[#This Row],[Unit Price]]-tblAnalysis[[#This Row],[Unit Cost]])</f>
        <v>120</v>
      </c>
    </row>
    <row r="287" spans="1:13">
      <c r="A287" t="s">
        <v>341</v>
      </c>
      <c r="B287" s="1">
        <v>45832</v>
      </c>
      <c r="C287" t="s">
        <v>37</v>
      </c>
      <c r="D287" t="s">
        <v>24</v>
      </c>
      <c r="E287">
        <v>6</v>
      </c>
      <c r="F287" t="str">
        <f>_xlfn.XLOOKUP(tblAnalysis[[#This Row],[Product ID]], tblProducts[Product ID], tblProducts[Product Name])</f>
        <v>Pants</v>
      </c>
      <c r="G287" t="str">
        <f>_xlfn.XLOOKUP(tblAnalysis[[#This Row],[Product ID]], tblProducts[Product ID], tblProducts[Category])</f>
        <v>Fashion</v>
      </c>
      <c r="H287" s="22">
        <f>_xlfn.XLOOKUP(tblAnalysis[[#This Row],[Product ID]], tblProducts[Product ID], tblProducts[Unit Price])</f>
        <v>40</v>
      </c>
      <c r="I287" s="22">
        <f>_xlfn.XLOOKUP(tblAnalysis[[#This Row],[Product ID]], tblProducts[Product ID], tblProducts[Unit Cost])</f>
        <v>18</v>
      </c>
      <c r="J287" t="str">
        <f>_xlfn.XLOOKUP(tblAnalysis[[#This Row],[Rep ID]], tblReps[Rep ID], tblReps[Sales Rep])</f>
        <v>Mike</v>
      </c>
      <c r="K287" t="str">
        <f>_xlfn.XLOOKUP(tblAnalysis[[#This Row],[Rep ID]], tblReps[Rep ID], tblReps[Region])</f>
        <v>Los Angeles</v>
      </c>
      <c r="L287" s="22">
        <f>tblAnalysis[[#This Row],[Quantity]]*tblAnalysis[[#This Row],[Unit Price]]</f>
        <v>240</v>
      </c>
      <c r="M287" s="22">
        <f>tblAnalysis[[#This Row],[Quantity]]*(tblAnalysis[[#This Row],[Unit Price]]-tblAnalysis[[#This Row],[Unit Cost]])</f>
        <v>132</v>
      </c>
    </row>
    <row r="288" spans="1:13">
      <c r="A288" t="s">
        <v>342</v>
      </c>
      <c r="B288" s="1">
        <v>45833</v>
      </c>
      <c r="C288" t="s">
        <v>49</v>
      </c>
      <c r="D288" t="s">
        <v>26</v>
      </c>
      <c r="E288">
        <v>4</v>
      </c>
      <c r="F288" t="str">
        <f>_xlfn.XLOOKUP(tblAnalysis[[#This Row],[Product ID]], tblProducts[Product ID], tblProducts[Product Name])</f>
        <v>Shoes</v>
      </c>
      <c r="G288" t="str">
        <f>_xlfn.XLOOKUP(tblAnalysis[[#This Row],[Product ID]], tblProducts[Product ID], tblProducts[Category])</f>
        <v>Fashion</v>
      </c>
      <c r="H288" s="22">
        <f>_xlfn.XLOOKUP(tblAnalysis[[#This Row],[Product ID]], tblProducts[Product ID], tblProducts[Unit Price])</f>
        <v>75</v>
      </c>
      <c r="I288" s="22">
        <f>_xlfn.XLOOKUP(tblAnalysis[[#This Row],[Product ID]], tblProducts[Product ID], tblProducts[Unit Cost])</f>
        <v>40</v>
      </c>
      <c r="J288" t="str">
        <f>_xlfn.XLOOKUP(tblAnalysis[[#This Row],[Rep ID]], tblReps[Rep ID], tblReps[Sales Rep])</f>
        <v>Emma</v>
      </c>
      <c r="K288" t="str">
        <f>_xlfn.XLOOKUP(tblAnalysis[[#This Row],[Rep ID]], tblReps[Rep ID], tblReps[Region])</f>
        <v>Miami</v>
      </c>
      <c r="L288" s="22">
        <f>tblAnalysis[[#This Row],[Quantity]]*tblAnalysis[[#This Row],[Unit Price]]</f>
        <v>300</v>
      </c>
      <c r="M288" s="22">
        <f>tblAnalysis[[#This Row],[Quantity]]*(tblAnalysis[[#This Row],[Unit Price]]-tblAnalysis[[#This Row],[Unit Cost]])</f>
        <v>140</v>
      </c>
    </row>
    <row r="289" spans="1:13">
      <c r="A289" t="s">
        <v>343</v>
      </c>
      <c r="B289" s="1">
        <v>45833</v>
      </c>
      <c r="C289" t="s">
        <v>41</v>
      </c>
      <c r="D289" t="s">
        <v>24</v>
      </c>
      <c r="E289">
        <v>10</v>
      </c>
      <c r="F289" t="str">
        <f>_xlfn.XLOOKUP(tblAnalysis[[#This Row],[Product ID]], tblProducts[Product ID], tblProducts[Product Name])</f>
        <v>Pants</v>
      </c>
      <c r="G289" t="str">
        <f>_xlfn.XLOOKUP(tblAnalysis[[#This Row],[Product ID]], tblProducts[Product ID], tblProducts[Category])</f>
        <v>Fashion</v>
      </c>
      <c r="H289" s="22">
        <f>_xlfn.XLOOKUP(tblAnalysis[[#This Row],[Product ID]], tblProducts[Product ID], tblProducts[Unit Price])</f>
        <v>40</v>
      </c>
      <c r="I289" s="22">
        <f>_xlfn.XLOOKUP(tblAnalysis[[#This Row],[Product ID]], tblProducts[Product ID], tblProducts[Unit Cost])</f>
        <v>18</v>
      </c>
      <c r="J289" t="str">
        <f>_xlfn.XLOOKUP(tblAnalysis[[#This Row],[Rep ID]], tblReps[Rep ID], tblReps[Sales Rep])</f>
        <v>Sarah</v>
      </c>
      <c r="K289" t="str">
        <f>_xlfn.XLOOKUP(tblAnalysis[[#This Row],[Rep ID]], tblReps[Rep ID], tblReps[Region])</f>
        <v>Chicago</v>
      </c>
      <c r="L289" s="22">
        <f>tblAnalysis[[#This Row],[Quantity]]*tblAnalysis[[#This Row],[Unit Price]]</f>
        <v>400</v>
      </c>
      <c r="M289" s="22">
        <f>tblAnalysis[[#This Row],[Quantity]]*(tblAnalysis[[#This Row],[Unit Price]]-tblAnalysis[[#This Row],[Unit Cost]])</f>
        <v>220</v>
      </c>
    </row>
    <row r="290" spans="1:13">
      <c r="A290" t="s">
        <v>344</v>
      </c>
      <c r="B290" s="1">
        <v>45834</v>
      </c>
      <c r="C290" t="s">
        <v>49</v>
      </c>
      <c r="D290" t="s">
        <v>17</v>
      </c>
      <c r="E290">
        <v>10</v>
      </c>
      <c r="F290" t="str">
        <f>_xlfn.XLOOKUP(tblAnalysis[[#This Row],[Product ID]], tblProducts[Product ID], tblProducts[Product Name])</f>
        <v>Iron</v>
      </c>
      <c r="G290" t="str">
        <f>_xlfn.XLOOKUP(tblAnalysis[[#This Row],[Product ID]], tblProducts[Product ID], tblProducts[Category])</f>
        <v>Home &amp; Living</v>
      </c>
      <c r="H290" s="22">
        <f>_xlfn.XLOOKUP(tblAnalysis[[#This Row],[Product ID]], tblProducts[Product ID], tblProducts[Unit Price])</f>
        <v>35</v>
      </c>
      <c r="I290" s="22">
        <f>_xlfn.XLOOKUP(tblAnalysis[[#This Row],[Product ID]], tblProducts[Product ID], tblProducts[Unit Cost])</f>
        <v>20</v>
      </c>
      <c r="J290" t="str">
        <f>_xlfn.XLOOKUP(tblAnalysis[[#This Row],[Rep ID]], tblReps[Rep ID], tblReps[Sales Rep])</f>
        <v>Emma</v>
      </c>
      <c r="K290" t="str">
        <f>_xlfn.XLOOKUP(tblAnalysis[[#This Row],[Rep ID]], tblReps[Rep ID], tblReps[Region])</f>
        <v>Miami</v>
      </c>
      <c r="L290" s="22">
        <f>tblAnalysis[[#This Row],[Quantity]]*tblAnalysis[[#This Row],[Unit Price]]</f>
        <v>350</v>
      </c>
      <c r="M290" s="22">
        <f>tblAnalysis[[#This Row],[Quantity]]*(tblAnalysis[[#This Row],[Unit Price]]-tblAnalysis[[#This Row],[Unit Cost]])</f>
        <v>150</v>
      </c>
    </row>
    <row r="291" spans="1:13">
      <c r="A291" t="s">
        <v>345</v>
      </c>
      <c r="B291" s="1">
        <v>45834</v>
      </c>
      <c r="C291" t="s">
        <v>33</v>
      </c>
      <c r="D291" t="s">
        <v>19</v>
      </c>
      <c r="E291">
        <v>3</v>
      </c>
      <c r="F291" t="str">
        <f>_xlfn.XLOOKUP(tblAnalysis[[#This Row],[Product ID]], tblProducts[Product ID], tblProducts[Product Name])</f>
        <v>Fan</v>
      </c>
      <c r="G291" t="str">
        <f>_xlfn.XLOOKUP(tblAnalysis[[#This Row],[Product ID]], tblProducts[Product ID], tblProducts[Category])</f>
        <v>Home &amp; Living</v>
      </c>
      <c r="H291" s="22">
        <f>_xlfn.XLOOKUP(tblAnalysis[[#This Row],[Product ID]], tblProducts[Product ID], tblProducts[Unit Price])</f>
        <v>45</v>
      </c>
      <c r="I291" s="22">
        <f>_xlfn.XLOOKUP(tblAnalysis[[#This Row],[Product ID]], tblProducts[Product ID], tblProducts[Unit Cost])</f>
        <v>25</v>
      </c>
      <c r="J291" t="str">
        <f>_xlfn.XLOOKUP(tblAnalysis[[#This Row],[Rep ID]], tblReps[Rep ID], tblReps[Sales Rep])</f>
        <v>John</v>
      </c>
      <c r="K291" t="str">
        <f>_xlfn.XLOOKUP(tblAnalysis[[#This Row],[Rep ID]], tblReps[Rep ID], tblReps[Region])</f>
        <v>New York</v>
      </c>
      <c r="L291" s="22">
        <f>tblAnalysis[[#This Row],[Quantity]]*tblAnalysis[[#This Row],[Unit Price]]</f>
        <v>135</v>
      </c>
      <c r="M291" s="22">
        <f>tblAnalysis[[#This Row],[Quantity]]*(tblAnalysis[[#This Row],[Unit Price]]-tblAnalysis[[#This Row],[Unit Cost]])</f>
        <v>60</v>
      </c>
    </row>
    <row r="292" spans="1:13">
      <c r="A292" t="s">
        <v>346</v>
      </c>
      <c r="B292" s="1">
        <v>45835</v>
      </c>
      <c r="C292" t="s">
        <v>49</v>
      </c>
      <c r="D292" t="s">
        <v>24</v>
      </c>
      <c r="E292">
        <v>7</v>
      </c>
      <c r="F292" t="str">
        <f>_xlfn.XLOOKUP(tblAnalysis[[#This Row],[Product ID]], tblProducts[Product ID], tblProducts[Product Name])</f>
        <v>Pants</v>
      </c>
      <c r="G292" t="str">
        <f>_xlfn.XLOOKUP(tblAnalysis[[#This Row],[Product ID]], tblProducts[Product ID], tblProducts[Category])</f>
        <v>Fashion</v>
      </c>
      <c r="H292" s="22">
        <f>_xlfn.XLOOKUP(tblAnalysis[[#This Row],[Product ID]], tblProducts[Product ID], tblProducts[Unit Price])</f>
        <v>40</v>
      </c>
      <c r="I292" s="22">
        <f>_xlfn.XLOOKUP(tblAnalysis[[#This Row],[Product ID]], tblProducts[Product ID], tblProducts[Unit Cost])</f>
        <v>18</v>
      </c>
      <c r="J292" t="str">
        <f>_xlfn.XLOOKUP(tblAnalysis[[#This Row],[Rep ID]], tblReps[Rep ID], tblReps[Sales Rep])</f>
        <v>Emma</v>
      </c>
      <c r="K292" t="str">
        <f>_xlfn.XLOOKUP(tblAnalysis[[#This Row],[Rep ID]], tblReps[Rep ID], tblReps[Region])</f>
        <v>Miami</v>
      </c>
      <c r="L292" s="22">
        <f>tblAnalysis[[#This Row],[Quantity]]*tblAnalysis[[#This Row],[Unit Price]]</f>
        <v>280</v>
      </c>
      <c r="M292" s="22">
        <f>tblAnalysis[[#This Row],[Quantity]]*(tblAnalysis[[#This Row],[Unit Price]]-tblAnalysis[[#This Row],[Unit Cost]])</f>
        <v>154</v>
      </c>
    </row>
    <row r="293" spans="1:13">
      <c r="A293" t="s">
        <v>347</v>
      </c>
      <c r="B293" s="1">
        <v>45836</v>
      </c>
      <c r="C293" t="s">
        <v>33</v>
      </c>
      <c r="D293" t="s">
        <v>14</v>
      </c>
      <c r="E293">
        <v>7</v>
      </c>
      <c r="F293" t="str">
        <f>_xlfn.XLOOKUP(tblAnalysis[[#This Row],[Product ID]], tblProducts[Product ID], tblProducts[Product Name])</f>
        <v>Blender</v>
      </c>
      <c r="G293" t="str">
        <f>_xlfn.XLOOKUP(tblAnalysis[[#This Row],[Product ID]], tblProducts[Product ID], tblProducts[Category])</f>
        <v>Home &amp; Living</v>
      </c>
      <c r="H293" s="22">
        <f>_xlfn.XLOOKUP(tblAnalysis[[#This Row],[Product ID]], tblProducts[Product ID], tblProducts[Unit Price])</f>
        <v>50</v>
      </c>
      <c r="I293" s="22">
        <f>_xlfn.XLOOKUP(tblAnalysis[[#This Row],[Product ID]], tblProducts[Product ID], tblProducts[Unit Cost])</f>
        <v>30</v>
      </c>
      <c r="J293" t="str">
        <f>_xlfn.XLOOKUP(tblAnalysis[[#This Row],[Rep ID]], tblReps[Rep ID], tblReps[Sales Rep])</f>
        <v>John</v>
      </c>
      <c r="K293" t="str">
        <f>_xlfn.XLOOKUP(tblAnalysis[[#This Row],[Rep ID]], tblReps[Rep ID], tblReps[Region])</f>
        <v>New York</v>
      </c>
      <c r="L293" s="22">
        <f>tblAnalysis[[#This Row],[Quantity]]*tblAnalysis[[#This Row],[Unit Price]]</f>
        <v>350</v>
      </c>
      <c r="M293" s="22">
        <f>tblAnalysis[[#This Row],[Quantity]]*(tblAnalysis[[#This Row],[Unit Price]]-tblAnalysis[[#This Row],[Unit Cost]])</f>
        <v>140</v>
      </c>
    </row>
    <row r="294" spans="1:13">
      <c r="A294" t="s">
        <v>348</v>
      </c>
      <c r="B294" s="1">
        <v>45836</v>
      </c>
      <c r="C294" t="s">
        <v>45</v>
      </c>
      <c r="D294" t="s">
        <v>10</v>
      </c>
      <c r="E294">
        <v>7</v>
      </c>
      <c r="F294" t="str">
        <f>_xlfn.XLOOKUP(tblAnalysis[[#This Row],[Product ID]], tblProducts[Product ID], tblProducts[Product Name])</f>
        <v>Keyboard</v>
      </c>
      <c r="G294" t="str">
        <f>_xlfn.XLOOKUP(tblAnalysis[[#This Row],[Product ID]], tblProducts[Product ID], tblProducts[Category])</f>
        <v>Electronics</v>
      </c>
      <c r="H294" s="22">
        <f>_xlfn.XLOOKUP(tblAnalysis[[#This Row],[Product ID]], tblProducts[Product ID], tblProducts[Unit Price])</f>
        <v>40</v>
      </c>
      <c r="I294" s="22">
        <f>_xlfn.XLOOKUP(tblAnalysis[[#This Row],[Product ID]], tblProducts[Product ID], tblProducts[Unit Cost])</f>
        <v>22</v>
      </c>
      <c r="J294" t="str">
        <f>_xlfn.XLOOKUP(tblAnalysis[[#This Row],[Rep ID]], tblReps[Rep ID], tblReps[Sales Rep])</f>
        <v>David</v>
      </c>
      <c r="K294" t="str">
        <f>_xlfn.XLOOKUP(tblAnalysis[[#This Row],[Rep ID]], tblReps[Rep ID], tblReps[Region])</f>
        <v>Houston</v>
      </c>
      <c r="L294" s="22">
        <f>tblAnalysis[[#This Row],[Quantity]]*tblAnalysis[[#This Row],[Unit Price]]</f>
        <v>280</v>
      </c>
      <c r="M294" s="22">
        <f>tblAnalysis[[#This Row],[Quantity]]*(tblAnalysis[[#This Row],[Unit Price]]-tblAnalysis[[#This Row],[Unit Cost]])</f>
        <v>126</v>
      </c>
    </row>
    <row r="295" spans="1:13">
      <c r="A295" t="s">
        <v>349</v>
      </c>
      <c r="B295" s="1">
        <v>45837</v>
      </c>
      <c r="C295" t="s">
        <v>37</v>
      </c>
      <c r="D295" t="s">
        <v>17</v>
      </c>
      <c r="E295">
        <v>7</v>
      </c>
      <c r="F295" t="str">
        <f>_xlfn.XLOOKUP(tblAnalysis[[#This Row],[Product ID]], tblProducts[Product ID], tblProducts[Product Name])</f>
        <v>Iron</v>
      </c>
      <c r="G295" t="str">
        <f>_xlfn.XLOOKUP(tblAnalysis[[#This Row],[Product ID]], tblProducts[Product ID], tblProducts[Category])</f>
        <v>Home &amp; Living</v>
      </c>
      <c r="H295" s="22">
        <f>_xlfn.XLOOKUP(tblAnalysis[[#This Row],[Product ID]], tblProducts[Product ID], tblProducts[Unit Price])</f>
        <v>35</v>
      </c>
      <c r="I295" s="22">
        <f>_xlfn.XLOOKUP(tblAnalysis[[#This Row],[Product ID]], tblProducts[Product ID], tblProducts[Unit Cost])</f>
        <v>20</v>
      </c>
      <c r="J295" t="str">
        <f>_xlfn.XLOOKUP(tblAnalysis[[#This Row],[Rep ID]], tblReps[Rep ID], tblReps[Sales Rep])</f>
        <v>Mike</v>
      </c>
      <c r="K295" t="str">
        <f>_xlfn.XLOOKUP(tblAnalysis[[#This Row],[Rep ID]], tblReps[Rep ID], tblReps[Region])</f>
        <v>Los Angeles</v>
      </c>
      <c r="L295" s="22">
        <f>tblAnalysis[[#This Row],[Quantity]]*tblAnalysis[[#This Row],[Unit Price]]</f>
        <v>245</v>
      </c>
      <c r="M295" s="22">
        <f>tblAnalysis[[#This Row],[Quantity]]*(tblAnalysis[[#This Row],[Unit Price]]-tblAnalysis[[#This Row],[Unit Cost]])</f>
        <v>105</v>
      </c>
    </row>
    <row r="296" spans="1:13">
      <c r="A296" t="s">
        <v>350</v>
      </c>
      <c r="B296" s="1">
        <v>45837</v>
      </c>
      <c r="C296" t="s">
        <v>37</v>
      </c>
      <c r="D296" t="s">
        <v>19</v>
      </c>
      <c r="E296">
        <v>10</v>
      </c>
      <c r="F296" t="str">
        <f>_xlfn.XLOOKUP(tblAnalysis[[#This Row],[Product ID]], tblProducts[Product ID], tblProducts[Product Name])</f>
        <v>Fan</v>
      </c>
      <c r="G296" t="str">
        <f>_xlfn.XLOOKUP(tblAnalysis[[#This Row],[Product ID]], tblProducts[Product ID], tblProducts[Category])</f>
        <v>Home &amp; Living</v>
      </c>
      <c r="H296" s="22">
        <f>_xlfn.XLOOKUP(tblAnalysis[[#This Row],[Product ID]], tblProducts[Product ID], tblProducts[Unit Price])</f>
        <v>45</v>
      </c>
      <c r="I296" s="22">
        <f>_xlfn.XLOOKUP(tblAnalysis[[#This Row],[Product ID]], tblProducts[Product ID], tblProducts[Unit Cost])</f>
        <v>25</v>
      </c>
      <c r="J296" t="str">
        <f>_xlfn.XLOOKUP(tblAnalysis[[#This Row],[Rep ID]], tblReps[Rep ID], tblReps[Sales Rep])</f>
        <v>Mike</v>
      </c>
      <c r="K296" t="str">
        <f>_xlfn.XLOOKUP(tblAnalysis[[#This Row],[Rep ID]], tblReps[Rep ID], tblReps[Region])</f>
        <v>Los Angeles</v>
      </c>
      <c r="L296" s="22">
        <f>tblAnalysis[[#This Row],[Quantity]]*tblAnalysis[[#This Row],[Unit Price]]</f>
        <v>450</v>
      </c>
      <c r="M296" s="22">
        <f>tblAnalysis[[#This Row],[Quantity]]*(tblAnalysis[[#This Row],[Unit Price]]-tblAnalysis[[#This Row],[Unit Cost]])</f>
        <v>200</v>
      </c>
    </row>
    <row r="297" spans="1:13">
      <c r="A297" t="s">
        <v>351</v>
      </c>
      <c r="B297" s="1">
        <v>45837</v>
      </c>
      <c r="C297" t="s">
        <v>49</v>
      </c>
      <c r="D297" t="s">
        <v>19</v>
      </c>
      <c r="E297">
        <v>10</v>
      </c>
      <c r="F297" t="str">
        <f>_xlfn.XLOOKUP(tblAnalysis[[#This Row],[Product ID]], tblProducts[Product ID], tblProducts[Product Name])</f>
        <v>Fan</v>
      </c>
      <c r="G297" t="str">
        <f>_xlfn.XLOOKUP(tblAnalysis[[#This Row],[Product ID]], tblProducts[Product ID], tblProducts[Category])</f>
        <v>Home &amp; Living</v>
      </c>
      <c r="H297" s="22">
        <f>_xlfn.XLOOKUP(tblAnalysis[[#This Row],[Product ID]], tblProducts[Product ID], tblProducts[Unit Price])</f>
        <v>45</v>
      </c>
      <c r="I297" s="22">
        <f>_xlfn.XLOOKUP(tblAnalysis[[#This Row],[Product ID]], tblProducts[Product ID], tblProducts[Unit Cost])</f>
        <v>25</v>
      </c>
      <c r="J297" t="str">
        <f>_xlfn.XLOOKUP(tblAnalysis[[#This Row],[Rep ID]], tblReps[Rep ID], tblReps[Sales Rep])</f>
        <v>Emma</v>
      </c>
      <c r="K297" t="str">
        <f>_xlfn.XLOOKUP(tblAnalysis[[#This Row],[Rep ID]], tblReps[Rep ID], tblReps[Region])</f>
        <v>Miami</v>
      </c>
      <c r="L297" s="22">
        <f>tblAnalysis[[#This Row],[Quantity]]*tblAnalysis[[#This Row],[Unit Price]]</f>
        <v>450</v>
      </c>
      <c r="M297" s="22">
        <f>tblAnalysis[[#This Row],[Quantity]]*(tblAnalysis[[#This Row],[Unit Price]]-tblAnalysis[[#This Row],[Unit Cost]])</f>
        <v>200</v>
      </c>
    </row>
    <row r="298" spans="1:13">
      <c r="A298" t="s">
        <v>352</v>
      </c>
      <c r="B298" s="1">
        <v>45838</v>
      </c>
      <c r="C298" t="s">
        <v>41</v>
      </c>
      <c r="D298" t="s">
        <v>8</v>
      </c>
      <c r="E298">
        <v>4</v>
      </c>
      <c r="F298" t="str">
        <f>_xlfn.XLOOKUP(tblAnalysis[[#This Row],[Product ID]], tblProducts[Product ID], tblProducts[Product Name])</f>
        <v>Mouse</v>
      </c>
      <c r="G298" t="str">
        <f>_xlfn.XLOOKUP(tblAnalysis[[#This Row],[Product ID]], tblProducts[Product ID], tblProducts[Category])</f>
        <v>Electronics</v>
      </c>
      <c r="H298" s="22">
        <f>_xlfn.XLOOKUP(tblAnalysis[[#This Row],[Product ID]], tblProducts[Product ID], tblProducts[Unit Price])</f>
        <v>25</v>
      </c>
      <c r="I298" s="22">
        <f>_xlfn.XLOOKUP(tblAnalysis[[#This Row],[Product ID]], tblProducts[Product ID], tblProducts[Unit Cost])</f>
        <v>12</v>
      </c>
      <c r="J298" t="str">
        <f>_xlfn.XLOOKUP(tblAnalysis[[#This Row],[Rep ID]], tblReps[Rep ID], tblReps[Sales Rep])</f>
        <v>Sarah</v>
      </c>
      <c r="K298" t="str">
        <f>_xlfn.XLOOKUP(tblAnalysis[[#This Row],[Rep ID]], tblReps[Rep ID], tblReps[Region])</f>
        <v>Chicago</v>
      </c>
      <c r="L298" s="22">
        <f>tblAnalysis[[#This Row],[Quantity]]*tblAnalysis[[#This Row],[Unit Price]]</f>
        <v>100</v>
      </c>
      <c r="M298" s="22">
        <f>tblAnalysis[[#This Row],[Quantity]]*(tblAnalysis[[#This Row],[Unit Price]]-tblAnalysis[[#This Row],[Unit Cost]])</f>
        <v>52</v>
      </c>
    </row>
    <row r="299" spans="1:13">
      <c r="A299" t="s">
        <v>353</v>
      </c>
      <c r="B299" s="1">
        <v>45838</v>
      </c>
      <c r="C299" t="s">
        <v>37</v>
      </c>
      <c r="D299" t="s">
        <v>17</v>
      </c>
      <c r="E299">
        <v>1</v>
      </c>
      <c r="F299" t="str">
        <f>_xlfn.XLOOKUP(tblAnalysis[[#This Row],[Product ID]], tblProducts[Product ID], tblProducts[Product Name])</f>
        <v>Iron</v>
      </c>
      <c r="G299" t="str">
        <f>_xlfn.XLOOKUP(tblAnalysis[[#This Row],[Product ID]], tblProducts[Product ID], tblProducts[Category])</f>
        <v>Home &amp; Living</v>
      </c>
      <c r="H299" s="22">
        <f>_xlfn.XLOOKUP(tblAnalysis[[#This Row],[Product ID]], tblProducts[Product ID], tblProducts[Unit Price])</f>
        <v>35</v>
      </c>
      <c r="I299" s="22">
        <f>_xlfn.XLOOKUP(tblAnalysis[[#This Row],[Product ID]], tblProducts[Product ID], tblProducts[Unit Cost])</f>
        <v>20</v>
      </c>
      <c r="J299" t="str">
        <f>_xlfn.XLOOKUP(tblAnalysis[[#This Row],[Rep ID]], tblReps[Rep ID], tblReps[Sales Rep])</f>
        <v>Mike</v>
      </c>
      <c r="K299" t="str">
        <f>_xlfn.XLOOKUP(tblAnalysis[[#This Row],[Rep ID]], tblReps[Rep ID], tblReps[Region])</f>
        <v>Los Angeles</v>
      </c>
      <c r="L299" s="22">
        <f>tblAnalysis[[#This Row],[Quantity]]*tblAnalysis[[#This Row],[Unit Price]]</f>
        <v>35</v>
      </c>
      <c r="M299" s="22">
        <f>tblAnalysis[[#This Row],[Quantity]]*(tblAnalysis[[#This Row],[Unit Price]]-tblAnalysis[[#This Row],[Unit Cost]])</f>
        <v>15</v>
      </c>
    </row>
    <row r="300" spans="1:13">
      <c r="A300" t="s">
        <v>354</v>
      </c>
      <c r="B300" s="1">
        <v>45840</v>
      </c>
      <c r="C300" t="s">
        <v>41</v>
      </c>
      <c r="D300" t="s">
        <v>17</v>
      </c>
      <c r="E300">
        <v>7</v>
      </c>
      <c r="F300" t="str">
        <f>_xlfn.XLOOKUP(tblAnalysis[[#This Row],[Product ID]], tblProducts[Product ID], tblProducts[Product Name])</f>
        <v>Iron</v>
      </c>
      <c r="G300" t="str">
        <f>_xlfn.XLOOKUP(tblAnalysis[[#This Row],[Product ID]], tblProducts[Product ID], tblProducts[Category])</f>
        <v>Home &amp; Living</v>
      </c>
      <c r="H300" s="22">
        <f>_xlfn.XLOOKUP(tblAnalysis[[#This Row],[Product ID]], tblProducts[Product ID], tblProducts[Unit Price])</f>
        <v>35</v>
      </c>
      <c r="I300" s="22">
        <f>_xlfn.XLOOKUP(tblAnalysis[[#This Row],[Product ID]], tblProducts[Product ID], tblProducts[Unit Cost])</f>
        <v>20</v>
      </c>
      <c r="J300" t="str">
        <f>_xlfn.XLOOKUP(tblAnalysis[[#This Row],[Rep ID]], tblReps[Rep ID], tblReps[Sales Rep])</f>
        <v>Sarah</v>
      </c>
      <c r="K300" t="str">
        <f>_xlfn.XLOOKUP(tblAnalysis[[#This Row],[Rep ID]], tblReps[Rep ID], tblReps[Region])</f>
        <v>Chicago</v>
      </c>
      <c r="L300" s="22">
        <f>tblAnalysis[[#This Row],[Quantity]]*tblAnalysis[[#This Row],[Unit Price]]</f>
        <v>245</v>
      </c>
      <c r="M300" s="22">
        <f>tblAnalysis[[#This Row],[Quantity]]*(tblAnalysis[[#This Row],[Unit Price]]-tblAnalysis[[#This Row],[Unit Cost]])</f>
        <v>105</v>
      </c>
    </row>
    <row r="301" spans="1:13">
      <c r="A301" t="s">
        <v>355</v>
      </c>
      <c r="B301" s="1">
        <v>45841</v>
      </c>
      <c r="C301" t="s">
        <v>49</v>
      </c>
      <c r="D301" t="s">
        <v>26</v>
      </c>
      <c r="E301">
        <v>2</v>
      </c>
      <c r="F301" t="str">
        <f>_xlfn.XLOOKUP(tblAnalysis[[#This Row],[Product ID]], tblProducts[Product ID], tblProducts[Product Name])</f>
        <v>Shoes</v>
      </c>
      <c r="G301" t="str">
        <f>_xlfn.XLOOKUP(tblAnalysis[[#This Row],[Product ID]], tblProducts[Product ID], tblProducts[Category])</f>
        <v>Fashion</v>
      </c>
      <c r="H301" s="22">
        <f>_xlfn.XLOOKUP(tblAnalysis[[#This Row],[Product ID]], tblProducts[Product ID], tblProducts[Unit Price])</f>
        <v>75</v>
      </c>
      <c r="I301" s="22">
        <f>_xlfn.XLOOKUP(tblAnalysis[[#This Row],[Product ID]], tblProducts[Product ID], tblProducts[Unit Cost])</f>
        <v>40</v>
      </c>
      <c r="J301" t="str">
        <f>_xlfn.XLOOKUP(tblAnalysis[[#This Row],[Rep ID]], tblReps[Rep ID], tblReps[Sales Rep])</f>
        <v>Emma</v>
      </c>
      <c r="K301" t="str">
        <f>_xlfn.XLOOKUP(tblAnalysis[[#This Row],[Rep ID]], tblReps[Rep ID], tblReps[Region])</f>
        <v>Miami</v>
      </c>
      <c r="L301" s="22">
        <f>tblAnalysis[[#This Row],[Quantity]]*tblAnalysis[[#This Row],[Unit Price]]</f>
        <v>150</v>
      </c>
      <c r="M301" s="22">
        <f>tblAnalysis[[#This Row],[Quantity]]*(tblAnalysis[[#This Row],[Unit Price]]-tblAnalysis[[#This Row],[Unit Cost]])</f>
        <v>70</v>
      </c>
    </row>
    <row r="302" spans="1:13">
      <c r="A302" t="s">
        <v>356</v>
      </c>
      <c r="B302" s="1">
        <v>45842</v>
      </c>
      <c r="C302" t="s">
        <v>45</v>
      </c>
      <c r="D302" t="s">
        <v>26</v>
      </c>
      <c r="E302">
        <v>7</v>
      </c>
      <c r="F302" t="str">
        <f>_xlfn.XLOOKUP(tblAnalysis[[#This Row],[Product ID]], tblProducts[Product ID], tblProducts[Product Name])</f>
        <v>Shoes</v>
      </c>
      <c r="G302" t="str">
        <f>_xlfn.XLOOKUP(tblAnalysis[[#This Row],[Product ID]], tblProducts[Product ID], tblProducts[Category])</f>
        <v>Fashion</v>
      </c>
      <c r="H302" s="22">
        <f>_xlfn.XLOOKUP(tblAnalysis[[#This Row],[Product ID]], tblProducts[Product ID], tblProducts[Unit Price])</f>
        <v>75</v>
      </c>
      <c r="I302" s="22">
        <f>_xlfn.XLOOKUP(tblAnalysis[[#This Row],[Product ID]], tblProducts[Product ID], tblProducts[Unit Cost])</f>
        <v>40</v>
      </c>
      <c r="J302" t="str">
        <f>_xlfn.XLOOKUP(tblAnalysis[[#This Row],[Rep ID]], tblReps[Rep ID], tblReps[Sales Rep])</f>
        <v>David</v>
      </c>
      <c r="K302" t="str">
        <f>_xlfn.XLOOKUP(tblAnalysis[[#This Row],[Rep ID]], tblReps[Rep ID], tblReps[Region])</f>
        <v>Houston</v>
      </c>
      <c r="L302" s="22">
        <f>tblAnalysis[[#This Row],[Quantity]]*tblAnalysis[[#This Row],[Unit Price]]</f>
        <v>525</v>
      </c>
      <c r="M302" s="22">
        <f>tblAnalysis[[#This Row],[Quantity]]*(tblAnalysis[[#This Row],[Unit Price]]-tblAnalysis[[#This Row],[Unit Cost]])</f>
        <v>245</v>
      </c>
    </row>
    <row r="303" spans="1:13">
      <c r="A303" t="s">
        <v>357</v>
      </c>
      <c r="B303" s="1">
        <v>45843</v>
      </c>
      <c r="C303" t="s">
        <v>37</v>
      </c>
      <c r="D303" t="s">
        <v>8</v>
      </c>
      <c r="E303">
        <v>7</v>
      </c>
      <c r="F303" t="str">
        <f>_xlfn.XLOOKUP(tblAnalysis[[#This Row],[Product ID]], tblProducts[Product ID], tblProducts[Product Name])</f>
        <v>Mouse</v>
      </c>
      <c r="G303" t="str">
        <f>_xlfn.XLOOKUP(tblAnalysis[[#This Row],[Product ID]], tblProducts[Product ID], tblProducts[Category])</f>
        <v>Electronics</v>
      </c>
      <c r="H303" s="22">
        <f>_xlfn.XLOOKUP(tblAnalysis[[#This Row],[Product ID]], tblProducts[Product ID], tblProducts[Unit Price])</f>
        <v>25</v>
      </c>
      <c r="I303" s="22">
        <f>_xlfn.XLOOKUP(tblAnalysis[[#This Row],[Product ID]], tblProducts[Product ID], tblProducts[Unit Cost])</f>
        <v>12</v>
      </c>
      <c r="J303" t="str">
        <f>_xlfn.XLOOKUP(tblAnalysis[[#This Row],[Rep ID]], tblReps[Rep ID], tblReps[Sales Rep])</f>
        <v>Mike</v>
      </c>
      <c r="K303" t="str">
        <f>_xlfn.XLOOKUP(tblAnalysis[[#This Row],[Rep ID]], tblReps[Rep ID], tblReps[Region])</f>
        <v>Los Angeles</v>
      </c>
      <c r="L303" s="22">
        <f>tblAnalysis[[#This Row],[Quantity]]*tblAnalysis[[#This Row],[Unit Price]]</f>
        <v>175</v>
      </c>
      <c r="M303" s="22">
        <f>tblAnalysis[[#This Row],[Quantity]]*(tblAnalysis[[#This Row],[Unit Price]]-tblAnalysis[[#This Row],[Unit Cost]])</f>
        <v>91</v>
      </c>
    </row>
    <row r="304" spans="1:13">
      <c r="A304" t="s">
        <v>358</v>
      </c>
      <c r="B304" s="1">
        <v>45843</v>
      </c>
      <c r="C304" t="s">
        <v>37</v>
      </c>
      <c r="D304" t="s">
        <v>10</v>
      </c>
      <c r="E304">
        <v>1</v>
      </c>
      <c r="F304" t="str">
        <f>_xlfn.XLOOKUP(tblAnalysis[[#This Row],[Product ID]], tblProducts[Product ID], tblProducts[Product Name])</f>
        <v>Keyboard</v>
      </c>
      <c r="G304" t="str">
        <f>_xlfn.XLOOKUP(tblAnalysis[[#This Row],[Product ID]], tblProducts[Product ID], tblProducts[Category])</f>
        <v>Electronics</v>
      </c>
      <c r="H304" s="22">
        <f>_xlfn.XLOOKUP(tblAnalysis[[#This Row],[Product ID]], tblProducts[Product ID], tblProducts[Unit Price])</f>
        <v>40</v>
      </c>
      <c r="I304" s="22">
        <f>_xlfn.XLOOKUP(tblAnalysis[[#This Row],[Product ID]], tblProducts[Product ID], tblProducts[Unit Cost])</f>
        <v>22</v>
      </c>
      <c r="J304" t="str">
        <f>_xlfn.XLOOKUP(tblAnalysis[[#This Row],[Rep ID]], tblReps[Rep ID], tblReps[Sales Rep])</f>
        <v>Mike</v>
      </c>
      <c r="K304" t="str">
        <f>_xlfn.XLOOKUP(tblAnalysis[[#This Row],[Rep ID]], tblReps[Rep ID], tblReps[Region])</f>
        <v>Los Angeles</v>
      </c>
      <c r="L304" s="22">
        <f>tblAnalysis[[#This Row],[Quantity]]*tblAnalysis[[#This Row],[Unit Price]]</f>
        <v>40</v>
      </c>
      <c r="M304" s="22">
        <f>tblAnalysis[[#This Row],[Quantity]]*(tblAnalysis[[#This Row],[Unit Price]]-tblAnalysis[[#This Row],[Unit Cost]])</f>
        <v>18</v>
      </c>
    </row>
    <row r="305" spans="1:13">
      <c r="A305" t="s">
        <v>359</v>
      </c>
      <c r="B305" s="1">
        <v>45844</v>
      </c>
      <c r="C305" t="s">
        <v>49</v>
      </c>
      <c r="D305" t="s">
        <v>21</v>
      </c>
      <c r="E305">
        <v>9</v>
      </c>
      <c r="F305" t="str">
        <f>_xlfn.XLOOKUP(tblAnalysis[[#This Row],[Product ID]], tblProducts[Product ID], tblProducts[Product Name])</f>
        <v>T-Shirt</v>
      </c>
      <c r="G305" t="str">
        <f>_xlfn.XLOOKUP(tblAnalysis[[#This Row],[Product ID]], tblProducts[Product ID], tblProducts[Category])</f>
        <v>Fashion</v>
      </c>
      <c r="H305" s="22">
        <f>_xlfn.XLOOKUP(tblAnalysis[[#This Row],[Product ID]], tblProducts[Product ID], tblProducts[Unit Price])</f>
        <v>20</v>
      </c>
      <c r="I305" s="22">
        <f>_xlfn.XLOOKUP(tblAnalysis[[#This Row],[Product ID]], tblProducts[Product ID], tblProducts[Unit Cost])</f>
        <v>8</v>
      </c>
      <c r="J305" t="str">
        <f>_xlfn.XLOOKUP(tblAnalysis[[#This Row],[Rep ID]], tblReps[Rep ID], tblReps[Sales Rep])</f>
        <v>Emma</v>
      </c>
      <c r="K305" t="str">
        <f>_xlfn.XLOOKUP(tblAnalysis[[#This Row],[Rep ID]], tblReps[Rep ID], tblReps[Region])</f>
        <v>Miami</v>
      </c>
      <c r="L305" s="22">
        <f>tblAnalysis[[#This Row],[Quantity]]*tblAnalysis[[#This Row],[Unit Price]]</f>
        <v>180</v>
      </c>
      <c r="M305" s="22">
        <f>tblAnalysis[[#This Row],[Quantity]]*(tblAnalysis[[#This Row],[Unit Price]]-tblAnalysis[[#This Row],[Unit Cost]])</f>
        <v>108</v>
      </c>
    </row>
    <row r="306" spans="1:13">
      <c r="A306" t="s">
        <v>360</v>
      </c>
      <c r="B306" s="1">
        <v>45844</v>
      </c>
      <c r="C306" t="s">
        <v>45</v>
      </c>
      <c r="D306" t="s">
        <v>26</v>
      </c>
      <c r="E306">
        <v>6</v>
      </c>
      <c r="F306" t="str">
        <f>_xlfn.XLOOKUP(tblAnalysis[[#This Row],[Product ID]], tblProducts[Product ID], tblProducts[Product Name])</f>
        <v>Shoes</v>
      </c>
      <c r="G306" t="str">
        <f>_xlfn.XLOOKUP(tblAnalysis[[#This Row],[Product ID]], tblProducts[Product ID], tblProducts[Category])</f>
        <v>Fashion</v>
      </c>
      <c r="H306" s="22">
        <f>_xlfn.XLOOKUP(tblAnalysis[[#This Row],[Product ID]], tblProducts[Product ID], tblProducts[Unit Price])</f>
        <v>75</v>
      </c>
      <c r="I306" s="22">
        <f>_xlfn.XLOOKUP(tblAnalysis[[#This Row],[Product ID]], tblProducts[Product ID], tblProducts[Unit Cost])</f>
        <v>40</v>
      </c>
      <c r="J306" t="str">
        <f>_xlfn.XLOOKUP(tblAnalysis[[#This Row],[Rep ID]], tblReps[Rep ID], tblReps[Sales Rep])</f>
        <v>David</v>
      </c>
      <c r="K306" t="str">
        <f>_xlfn.XLOOKUP(tblAnalysis[[#This Row],[Rep ID]], tblReps[Rep ID], tblReps[Region])</f>
        <v>Houston</v>
      </c>
      <c r="L306" s="22">
        <f>tblAnalysis[[#This Row],[Quantity]]*tblAnalysis[[#This Row],[Unit Price]]</f>
        <v>450</v>
      </c>
      <c r="M306" s="22">
        <f>tblAnalysis[[#This Row],[Quantity]]*(tblAnalysis[[#This Row],[Unit Price]]-tblAnalysis[[#This Row],[Unit Cost]])</f>
        <v>210</v>
      </c>
    </row>
    <row r="307" spans="1:13">
      <c r="A307" t="s">
        <v>361</v>
      </c>
      <c r="B307" s="1">
        <v>45844</v>
      </c>
      <c r="C307" t="s">
        <v>45</v>
      </c>
      <c r="D307" t="s">
        <v>8</v>
      </c>
      <c r="E307">
        <v>8</v>
      </c>
      <c r="F307" t="str">
        <f>_xlfn.XLOOKUP(tblAnalysis[[#This Row],[Product ID]], tblProducts[Product ID], tblProducts[Product Name])</f>
        <v>Mouse</v>
      </c>
      <c r="G307" t="str">
        <f>_xlfn.XLOOKUP(tblAnalysis[[#This Row],[Product ID]], tblProducts[Product ID], tblProducts[Category])</f>
        <v>Electronics</v>
      </c>
      <c r="H307" s="22">
        <f>_xlfn.XLOOKUP(tblAnalysis[[#This Row],[Product ID]], tblProducts[Product ID], tblProducts[Unit Price])</f>
        <v>25</v>
      </c>
      <c r="I307" s="22">
        <f>_xlfn.XLOOKUP(tblAnalysis[[#This Row],[Product ID]], tblProducts[Product ID], tblProducts[Unit Cost])</f>
        <v>12</v>
      </c>
      <c r="J307" t="str">
        <f>_xlfn.XLOOKUP(tblAnalysis[[#This Row],[Rep ID]], tblReps[Rep ID], tblReps[Sales Rep])</f>
        <v>David</v>
      </c>
      <c r="K307" t="str">
        <f>_xlfn.XLOOKUP(tblAnalysis[[#This Row],[Rep ID]], tblReps[Rep ID], tblReps[Region])</f>
        <v>Houston</v>
      </c>
      <c r="L307" s="22">
        <f>tblAnalysis[[#This Row],[Quantity]]*tblAnalysis[[#This Row],[Unit Price]]</f>
        <v>200</v>
      </c>
      <c r="M307" s="22">
        <f>tblAnalysis[[#This Row],[Quantity]]*(tblAnalysis[[#This Row],[Unit Price]]-tblAnalysis[[#This Row],[Unit Cost]])</f>
        <v>104</v>
      </c>
    </row>
    <row r="308" spans="1:13">
      <c r="A308" t="s">
        <v>362</v>
      </c>
      <c r="B308" s="1">
        <v>45844</v>
      </c>
      <c r="C308" t="s">
        <v>33</v>
      </c>
      <c r="D308" t="s">
        <v>5</v>
      </c>
      <c r="E308">
        <v>9</v>
      </c>
      <c r="F308" t="str">
        <f>_xlfn.XLOOKUP(tblAnalysis[[#This Row],[Product ID]], tblProducts[Product ID], tblProducts[Product Name])</f>
        <v>Headset</v>
      </c>
      <c r="G308" t="str">
        <f>_xlfn.XLOOKUP(tblAnalysis[[#This Row],[Product ID]], tblProducts[Product ID], tblProducts[Category])</f>
        <v>Electronics</v>
      </c>
      <c r="H308" s="22">
        <f>_xlfn.XLOOKUP(tblAnalysis[[#This Row],[Product ID]], tblProducts[Product ID], tblProducts[Unit Price])</f>
        <v>75</v>
      </c>
      <c r="I308" s="22">
        <f>_xlfn.XLOOKUP(tblAnalysis[[#This Row],[Product ID]], tblProducts[Product ID], tblProducts[Unit Cost])</f>
        <v>45</v>
      </c>
      <c r="J308" t="str">
        <f>_xlfn.XLOOKUP(tblAnalysis[[#This Row],[Rep ID]], tblReps[Rep ID], tblReps[Sales Rep])</f>
        <v>John</v>
      </c>
      <c r="K308" t="str">
        <f>_xlfn.XLOOKUP(tblAnalysis[[#This Row],[Rep ID]], tblReps[Rep ID], tblReps[Region])</f>
        <v>New York</v>
      </c>
      <c r="L308" s="22">
        <f>tblAnalysis[[#This Row],[Quantity]]*tblAnalysis[[#This Row],[Unit Price]]</f>
        <v>675</v>
      </c>
      <c r="M308" s="22">
        <f>tblAnalysis[[#This Row],[Quantity]]*(tblAnalysis[[#This Row],[Unit Price]]-tblAnalysis[[#This Row],[Unit Cost]])</f>
        <v>270</v>
      </c>
    </row>
    <row r="309" spans="1:13">
      <c r="A309" t="s">
        <v>363</v>
      </c>
      <c r="B309" s="1">
        <v>45845</v>
      </c>
      <c r="C309" t="s">
        <v>37</v>
      </c>
      <c r="D309" t="s">
        <v>14</v>
      </c>
      <c r="E309">
        <v>7</v>
      </c>
      <c r="F309" t="str">
        <f>_xlfn.XLOOKUP(tblAnalysis[[#This Row],[Product ID]], tblProducts[Product ID], tblProducts[Product Name])</f>
        <v>Blender</v>
      </c>
      <c r="G309" t="str">
        <f>_xlfn.XLOOKUP(tblAnalysis[[#This Row],[Product ID]], tblProducts[Product ID], tblProducts[Category])</f>
        <v>Home &amp; Living</v>
      </c>
      <c r="H309" s="22">
        <f>_xlfn.XLOOKUP(tblAnalysis[[#This Row],[Product ID]], tblProducts[Product ID], tblProducts[Unit Price])</f>
        <v>50</v>
      </c>
      <c r="I309" s="22">
        <f>_xlfn.XLOOKUP(tblAnalysis[[#This Row],[Product ID]], tblProducts[Product ID], tblProducts[Unit Cost])</f>
        <v>30</v>
      </c>
      <c r="J309" t="str">
        <f>_xlfn.XLOOKUP(tblAnalysis[[#This Row],[Rep ID]], tblReps[Rep ID], tblReps[Sales Rep])</f>
        <v>Mike</v>
      </c>
      <c r="K309" t="str">
        <f>_xlfn.XLOOKUP(tblAnalysis[[#This Row],[Rep ID]], tblReps[Rep ID], tblReps[Region])</f>
        <v>Los Angeles</v>
      </c>
      <c r="L309" s="22">
        <f>tblAnalysis[[#This Row],[Quantity]]*tblAnalysis[[#This Row],[Unit Price]]</f>
        <v>350</v>
      </c>
      <c r="M309" s="22">
        <f>tblAnalysis[[#This Row],[Quantity]]*(tblAnalysis[[#This Row],[Unit Price]]-tblAnalysis[[#This Row],[Unit Cost]])</f>
        <v>140</v>
      </c>
    </row>
    <row r="310" spans="1:13">
      <c r="A310" t="s">
        <v>364</v>
      </c>
      <c r="B310" s="1">
        <v>45845</v>
      </c>
      <c r="C310" t="s">
        <v>33</v>
      </c>
      <c r="D310" t="s">
        <v>8</v>
      </c>
      <c r="E310">
        <v>4</v>
      </c>
      <c r="F310" t="str">
        <f>_xlfn.XLOOKUP(tblAnalysis[[#This Row],[Product ID]], tblProducts[Product ID], tblProducts[Product Name])</f>
        <v>Mouse</v>
      </c>
      <c r="G310" t="str">
        <f>_xlfn.XLOOKUP(tblAnalysis[[#This Row],[Product ID]], tblProducts[Product ID], tblProducts[Category])</f>
        <v>Electronics</v>
      </c>
      <c r="H310" s="22">
        <f>_xlfn.XLOOKUP(tblAnalysis[[#This Row],[Product ID]], tblProducts[Product ID], tblProducts[Unit Price])</f>
        <v>25</v>
      </c>
      <c r="I310" s="22">
        <f>_xlfn.XLOOKUP(tblAnalysis[[#This Row],[Product ID]], tblProducts[Product ID], tblProducts[Unit Cost])</f>
        <v>12</v>
      </c>
      <c r="J310" t="str">
        <f>_xlfn.XLOOKUP(tblAnalysis[[#This Row],[Rep ID]], tblReps[Rep ID], tblReps[Sales Rep])</f>
        <v>John</v>
      </c>
      <c r="K310" t="str">
        <f>_xlfn.XLOOKUP(tblAnalysis[[#This Row],[Rep ID]], tblReps[Rep ID], tblReps[Region])</f>
        <v>New York</v>
      </c>
      <c r="L310" s="22">
        <f>tblAnalysis[[#This Row],[Quantity]]*tblAnalysis[[#This Row],[Unit Price]]</f>
        <v>100</v>
      </c>
      <c r="M310" s="22">
        <f>tblAnalysis[[#This Row],[Quantity]]*(tblAnalysis[[#This Row],[Unit Price]]-tblAnalysis[[#This Row],[Unit Cost]])</f>
        <v>52</v>
      </c>
    </row>
    <row r="311" spans="1:13">
      <c r="A311" t="s">
        <v>365</v>
      </c>
      <c r="B311" s="1">
        <v>45845</v>
      </c>
      <c r="C311" t="s">
        <v>45</v>
      </c>
      <c r="D311" t="s">
        <v>24</v>
      </c>
      <c r="E311">
        <v>7</v>
      </c>
      <c r="F311" t="str">
        <f>_xlfn.XLOOKUP(tblAnalysis[[#This Row],[Product ID]], tblProducts[Product ID], tblProducts[Product Name])</f>
        <v>Pants</v>
      </c>
      <c r="G311" t="str">
        <f>_xlfn.XLOOKUP(tblAnalysis[[#This Row],[Product ID]], tblProducts[Product ID], tblProducts[Category])</f>
        <v>Fashion</v>
      </c>
      <c r="H311" s="22">
        <f>_xlfn.XLOOKUP(tblAnalysis[[#This Row],[Product ID]], tblProducts[Product ID], tblProducts[Unit Price])</f>
        <v>40</v>
      </c>
      <c r="I311" s="22">
        <f>_xlfn.XLOOKUP(tblAnalysis[[#This Row],[Product ID]], tblProducts[Product ID], tblProducts[Unit Cost])</f>
        <v>18</v>
      </c>
      <c r="J311" t="str">
        <f>_xlfn.XLOOKUP(tblAnalysis[[#This Row],[Rep ID]], tblReps[Rep ID], tblReps[Sales Rep])</f>
        <v>David</v>
      </c>
      <c r="K311" t="str">
        <f>_xlfn.XLOOKUP(tblAnalysis[[#This Row],[Rep ID]], tblReps[Rep ID], tblReps[Region])</f>
        <v>Houston</v>
      </c>
      <c r="L311" s="22">
        <f>tblAnalysis[[#This Row],[Quantity]]*tblAnalysis[[#This Row],[Unit Price]]</f>
        <v>280</v>
      </c>
      <c r="M311" s="22">
        <f>tblAnalysis[[#This Row],[Quantity]]*(tblAnalysis[[#This Row],[Unit Price]]-tblAnalysis[[#This Row],[Unit Cost]])</f>
        <v>154</v>
      </c>
    </row>
    <row r="312" spans="1:13">
      <c r="A312" t="s">
        <v>366</v>
      </c>
      <c r="B312" s="1">
        <v>45846</v>
      </c>
      <c r="C312" t="s">
        <v>41</v>
      </c>
      <c r="D312" t="s">
        <v>21</v>
      </c>
      <c r="E312">
        <v>1</v>
      </c>
      <c r="F312" t="str">
        <f>_xlfn.XLOOKUP(tblAnalysis[[#This Row],[Product ID]], tblProducts[Product ID], tblProducts[Product Name])</f>
        <v>T-Shirt</v>
      </c>
      <c r="G312" t="str">
        <f>_xlfn.XLOOKUP(tblAnalysis[[#This Row],[Product ID]], tblProducts[Product ID], tblProducts[Category])</f>
        <v>Fashion</v>
      </c>
      <c r="H312" s="22">
        <f>_xlfn.XLOOKUP(tblAnalysis[[#This Row],[Product ID]], tblProducts[Product ID], tblProducts[Unit Price])</f>
        <v>20</v>
      </c>
      <c r="I312" s="22">
        <f>_xlfn.XLOOKUP(tblAnalysis[[#This Row],[Product ID]], tblProducts[Product ID], tblProducts[Unit Cost])</f>
        <v>8</v>
      </c>
      <c r="J312" t="str">
        <f>_xlfn.XLOOKUP(tblAnalysis[[#This Row],[Rep ID]], tblReps[Rep ID], tblReps[Sales Rep])</f>
        <v>Sarah</v>
      </c>
      <c r="K312" t="str">
        <f>_xlfn.XLOOKUP(tblAnalysis[[#This Row],[Rep ID]], tblReps[Rep ID], tblReps[Region])</f>
        <v>Chicago</v>
      </c>
      <c r="L312" s="22">
        <f>tblAnalysis[[#This Row],[Quantity]]*tblAnalysis[[#This Row],[Unit Price]]</f>
        <v>20</v>
      </c>
      <c r="M312" s="22">
        <f>tblAnalysis[[#This Row],[Quantity]]*(tblAnalysis[[#This Row],[Unit Price]]-tblAnalysis[[#This Row],[Unit Cost]])</f>
        <v>12</v>
      </c>
    </row>
    <row r="313" spans="1:13">
      <c r="A313" t="s">
        <v>367</v>
      </c>
      <c r="B313" s="1">
        <v>45846</v>
      </c>
      <c r="C313" t="s">
        <v>37</v>
      </c>
      <c r="D313" t="s">
        <v>14</v>
      </c>
      <c r="E313">
        <v>7</v>
      </c>
      <c r="F313" t="str">
        <f>_xlfn.XLOOKUP(tblAnalysis[[#This Row],[Product ID]], tblProducts[Product ID], tblProducts[Product Name])</f>
        <v>Blender</v>
      </c>
      <c r="G313" t="str">
        <f>_xlfn.XLOOKUP(tblAnalysis[[#This Row],[Product ID]], tblProducts[Product ID], tblProducts[Category])</f>
        <v>Home &amp; Living</v>
      </c>
      <c r="H313" s="22">
        <f>_xlfn.XLOOKUP(tblAnalysis[[#This Row],[Product ID]], tblProducts[Product ID], tblProducts[Unit Price])</f>
        <v>50</v>
      </c>
      <c r="I313" s="22">
        <f>_xlfn.XLOOKUP(tblAnalysis[[#This Row],[Product ID]], tblProducts[Product ID], tblProducts[Unit Cost])</f>
        <v>30</v>
      </c>
      <c r="J313" t="str">
        <f>_xlfn.XLOOKUP(tblAnalysis[[#This Row],[Rep ID]], tblReps[Rep ID], tblReps[Sales Rep])</f>
        <v>Mike</v>
      </c>
      <c r="K313" t="str">
        <f>_xlfn.XLOOKUP(tblAnalysis[[#This Row],[Rep ID]], tblReps[Rep ID], tblReps[Region])</f>
        <v>Los Angeles</v>
      </c>
      <c r="L313" s="22">
        <f>tblAnalysis[[#This Row],[Quantity]]*tblAnalysis[[#This Row],[Unit Price]]</f>
        <v>350</v>
      </c>
      <c r="M313" s="22">
        <f>tblAnalysis[[#This Row],[Quantity]]*(tblAnalysis[[#This Row],[Unit Price]]-tblAnalysis[[#This Row],[Unit Cost]])</f>
        <v>140</v>
      </c>
    </row>
    <row r="314" spans="1:13">
      <c r="A314" t="s">
        <v>368</v>
      </c>
      <c r="B314" s="1">
        <v>45847</v>
      </c>
      <c r="C314" t="s">
        <v>37</v>
      </c>
      <c r="D314" t="s">
        <v>5</v>
      </c>
      <c r="E314">
        <v>5</v>
      </c>
      <c r="F314" t="str">
        <f>_xlfn.XLOOKUP(tblAnalysis[[#This Row],[Product ID]], tblProducts[Product ID], tblProducts[Product Name])</f>
        <v>Headset</v>
      </c>
      <c r="G314" t="str">
        <f>_xlfn.XLOOKUP(tblAnalysis[[#This Row],[Product ID]], tblProducts[Product ID], tblProducts[Category])</f>
        <v>Electronics</v>
      </c>
      <c r="H314" s="22">
        <f>_xlfn.XLOOKUP(tblAnalysis[[#This Row],[Product ID]], tblProducts[Product ID], tblProducts[Unit Price])</f>
        <v>75</v>
      </c>
      <c r="I314" s="22">
        <f>_xlfn.XLOOKUP(tblAnalysis[[#This Row],[Product ID]], tblProducts[Product ID], tblProducts[Unit Cost])</f>
        <v>45</v>
      </c>
      <c r="J314" t="str">
        <f>_xlfn.XLOOKUP(tblAnalysis[[#This Row],[Rep ID]], tblReps[Rep ID], tblReps[Sales Rep])</f>
        <v>Mike</v>
      </c>
      <c r="K314" t="str">
        <f>_xlfn.XLOOKUP(tblAnalysis[[#This Row],[Rep ID]], tblReps[Rep ID], tblReps[Region])</f>
        <v>Los Angeles</v>
      </c>
      <c r="L314" s="22">
        <f>tblAnalysis[[#This Row],[Quantity]]*tblAnalysis[[#This Row],[Unit Price]]</f>
        <v>375</v>
      </c>
      <c r="M314" s="22">
        <f>tblAnalysis[[#This Row],[Quantity]]*(tblAnalysis[[#This Row],[Unit Price]]-tblAnalysis[[#This Row],[Unit Cost]])</f>
        <v>150</v>
      </c>
    </row>
    <row r="315" spans="1:13">
      <c r="A315" t="s">
        <v>369</v>
      </c>
      <c r="B315" s="1">
        <v>45847</v>
      </c>
      <c r="C315" t="s">
        <v>45</v>
      </c>
      <c r="D315" t="s">
        <v>17</v>
      </c>
      <c r="E315">
        <v>6</v>
      </c>
      <c r="F315" t="str">
        <f>_xlfn.XLOOKUP(tblAnalysis[[#This Row],[Product ID]], tblProducts[Product ID], tblProducts[Product Name])</f>
        <v>Iron</v>
      </c>
      <c r="G315" t="str">
        <f>_xlfn.XLOOKUP(tblAnalysis[[#This Row],[Product ID]], tblProducts[Product ID], tblProducts[Category])</f>
        <v>Home &amp; Living</v>
      </c>
      <c r="H315" s="22">
        <f>_xlfn.XLOOKUP(tblAnalysis[[#This Row],[Product ID]], tblProducts[Product ID], tblProducts[Unit Price])</f>
        <v>35</v>
      </c>
      <c r="I315" s="22">
        <f>_xlfn.XLOOKUP(tblAnalysis[[#This Row],[Product ID]], tblProducts[Product ID], tblProducts[Unit Cost])</f>
        <v>20</v>
      </c>
      <c r="J315" t="str">
        <f>_xlfn.XLOOKUP(tblAnalysis[[#This Row],[Rep ID]], tblReps[Rep ID], tblReps[Sales Rep])</f>
        <v>David</v>
      </c>
      <c r="K315" t="str">
        <f>_xlfn.XLOOKUP(tblAnalysis[[#This Row],[Rep ID]], tblReps[Rep ID], tblReps[Region])</f>
        <v>Houston</v>
      </c>
      <c r="L315" s="22">
        <f>tblAnalysis[[#This Row],[Quantity]]*tblAnalysis[[#This Row],[Unit Price]]</f>
        <v>210</v>
      </c>
      <c r="M315" s="22">
        <f>tblAnalysis[[#This Row],[Quantity]]*(tblAnalysis[[#This Row],[Unit Price]]-tblAnalysis[[#This Row],[Unit Cost]])</f>
        <v>90</v>
      </c>
    </row>
    <row r="316" spans="1:13">
      <c r="A316" t="s">
        <v>370</v>
      </c>
      <c r="B316" s="1">
        <v>45847</v>
      </c>
      <c r="C316" t="s">
        <v>45</v>
      </c>
      <c r="D316" t="s">
        <v>12</v>
      </c>
      <c r="E316">
        <v>4</v>
      </c>
      <c r="F316" t="str">
        <f>_xlfn.XLOOKUP(tblAnalysis[[#This Row],[Product ID]], tblProducts[Product ID], tblProducts[Product Name])</f>
        <v>Webcam</v>
      </c>
      <c r="G316" t="str">
        <f>_xlfn.XLOOKUP(tblAnalysis[[#This Row],[Product ID]], tblProducts[Product ID], tblProducts[Category])</f>
        <v>Electronics</v>
      </c>
      <c r="H316" s="22">
        <f>_xlfn.XLOOKUP(tblAnalysis[[#This Row],[Product ID]], tblProducts[Product ID], tblProducts[Unit Price])</f>
        <v>60</v>
      </c>
      <c r="I316" s="22">
        <f>_xlfn.XLOOKUP(tblAnalysis[[#This Row],[Product ID]], tblProducts[Product ID], tblProducts[Unit Cost])</f>
        <v>35</v>
      </c>
      <c r="J316" t="str">
        <f>_xlfn.XLOOKUP(tblAnalysis[[#This Row],[Rep ID]], tblReps[Rep ID], tblReps[Sales Rep])</f>
        <v>David</v>
      </c>
      <c r="K316" t="str">
        <f>_xlfn.XLOOKUP(tblAnalysis[[#This Row],[Rep ID]], tblReps[Rep ID], tblReps[Region])</f>
        <v>Houston</v>
      </c>
      <c r="L316" s="22">
        <f>tblAnalysis[[#This Row],[Quantity]]*tblAnalysis[[#This Row],[Unit Price]]</f>
        <v>240</v>
      </c>
      <c r="M316" s="22">
        <f>tblAnalysis[[#This Row],[Quantity]]*(tblAnalysis[[#This Row],[Unit Price]]-tblAnalysis[[#This Row],[Unit Cost]])</f>
        <v>100</v>
      </c>
    </row>
    <row r="317" spans="1:13">
      <c r="A317" t="s">
        <v>371</v>
      </c>
      <c r="B317" s="1">
        <v>45847</v>
      </c>
      <c r="C317" t="s">
        <v>37</v>
      </c>
      <c r="D317" t="s">
        <v>19</v>
      </c>
      <c r="E317">
        <v>8</v>
      </c>
      <c r="F317" t="str">
        <f>_xlfn.XLOOKUP(tblAnalysis[[#This Row],[Product ID]], tblProducts[Product ID], tblProducts[Product Name])</f>
        <v>Fan</v>
      </c>
      <c r="G317" t="str">
        <f>_xlfn.XLOOKUP(tblAnalysis[[#This Row],[Product ID]], tblProducts[Product ID], tblProducts[Category])</f>
        <v>Home &amp; Living</v>
      </c>
      <c r="H317" s="22">
        <f>_xlfn.XLOOKUP(tblAnalysis[[#This Row],[Product ID]], tblProducts[Product ID], tblProducts[Unit Price])</f>
        <v>45</v>
      </c>
      <c r="I317" s="22">
        <f>_xlfn.XLOOKUP(tblAnalysis[[#This Row],[Product ID]], tblProducts[Product ID], tblProducts[Unit Cost])</f>
        <v>25</v>
      </c>
      <c r="J317" t="str">
        <f>_xlfn.XLOOKUP(tblAnalysis[[#This Row],[Rep ID]], tblReps[Rep ID], tblReps[Sales Rep])</f>
        <v>Mike</v>
      </c>
      <c r="K317" t="str">
        <f>_xlfn.XLOOKUP(tblAnalysis[[#This Row],[Rep ID]], tblReps[Rep ID], tblReps[Region])</f>
        <v>Los Angeles</v>
      </c>
      <c r="L317" s="22">
        <f>tblAnalysis[[#This Row],[Quantity]]*tblAnalysis[[#This Row],[Unit Price]]</f>
        <v>360</v>
      </c>
      <c r="M317" s="22">
        <f>tblAnalysis[[#This Row],[Quantity]]*(tblAnalysis[[#This Row],[Unit Price]]-tblAnalysis[[#This Row],[Unit Cost]])</f>
        <v>160</v>
      </c>
    </row>
    <row r="318" spans="1:13">
      <c r="A318" t="s">
        <v>372</v>
      </c>
      <c r="B318" s="1">
        <v>45847</v>
      </c>
      <c r="C318" t="s">
        <v>49</v>
      </c>
      <c r="D318" t="s">
        <v>24</v>
      </c>
      <c r="E318">
        <v>6</v>
      </c>
      <c r="F318" t="str">
        <f>_xlfn.XLOOKUP(tblAnalysis[[#This Row],[Product ID]], tblProducts[Product ID], tblProducts[Product Name])</f>
        <v>Pants</v>
      </c>
      <c r="G318" t="str">
        <f>_xlfn.XLOOKUP(tblAnalysis[[#This Row],[Product ID]], tblProducts[Product ID], tblProducts[Category])</f>
        <v>Fashion</v>
      </c>
      <c r="H318" s="22">
        <f>_xlfn.XLOOKUP(tblAnalysis[[#This Row],[Product ID]], tblProducts[Product ID], tblProducts[Unit Price])</f>
        <v>40</v>
      </c>
      <c r="I318" s="22">
        <f>_xlfn.XLOOKUP(tblAnalysis[[#This Row],[Product ID]], tblProducts[Product ID], tblProducts[Unit Cost])</f>
        <v>18</v>
      </c>
      <c r="J318" t="str">
        <f>_xlfn.XLOOKUP(tblAnalysis[[#This Row],[Rep ID]], tblReps[Rep ID], tblReps[Sales Rep])</f>
        <v>Emma</v>
      </c>
      <c r="K318" t="str">
        <f>_xlfn.XLOOKUP(tblAnalysis[[#This Row],[Rep ID]], tblReps[Rep ID], tblReps[Region])</f>
        <v>Miami</v>
      </c>
      <c r="L318" s="22">
        <f>tblAnalysis[[#This Row],[Quantity]]*tblAnalysis[[#This Row],[Unit Price]]</f>
        <v>240</v>
      </c>
      <c r="M318" s="22">
        <f>tblAnalysis[[#This Row],[Quantity]]*(tblAnalysis[[#This Row],[Unit Price]]-tblAnalysis[[#This Row],[Unit Cost]])</f>
        <v>132</v>
      </c>
    </row>
    <row r="319" spans="1:13">
      <c r="A319" t="s">
        <v>373</v>
      </c>
      <c r="B319" s="1">
        <v>45848</v>
      </c>
      <c r="C319" t="s">
        <v>41</v>
      </c>
      <c r="D319" t="s">
        <v>8</v>
      </c>
      <c r="E319">
        <v>10</v>
      </c>
      <c r="F319" t="str">
        <f>_xlfn.XLOOKUP(tblAnalysis[[#This Row],[Product ID]], tblProducts[Product ID], tblProducts[Product Name])</f>
        <v>Mouse</v>
      </c>
      <c r="G319" t="str">
        <f>_xlfn.XLOOKUP(tblAnalysis[[#This Row],[Product ID]], tblProducts[Product ID], tblProducts[Category])</f>
        <v>Electronics</v>
      </c>
      <c r="H319" s="22">
        <f>_xlfn.XLOOKUP(tblAnalysis[[#This Row],[Product ID]], tblProducts[Product ID], tblProducts[Unit Price])</f>
        <v>25</v>
      </c>
      <c r="I319" s="22">
        <f>_xlfn.XLOOKUP(tblAnalysis[[#This Row],[Product ID]], tblProducts[Product ID], tblProducts[Unit Cost])</f>
        <v>12</v>
      </c>
      <c r="J319" t="str">
        <f>_xlfn.XLOOKUP(tblAnalysis[[#This Row],[Rep ID]], tblReps[Rep ID], tblReps[Sales Rep])</f>
        <v>Sarah</v>
      </c>
      <c r="K319" t="str">
        <f>_xlfn.XLOOKUP(tblAnalysis[[#This Row],[Rep ID]], tblReps[Rep ID], tblReps[Region])</f>
        <v>Chicago</v>
      </c>
      <c r="L319" s="22">
        <f>tblAnalysis[[#This Row],[Quantity]]*tblAnalysis[[#This Row],[Unit Price]]</f>
        <v>250</v>
      </c>
      <c r="M319" s="22">
        <f>tblAnalysis[[#This Row],[Quantity]]*(tblAnalysis[[#This Row],[Unit Price]]-tblAnalysis[[#This Row],[Unit Cost]])</f>
        <v>130</v>
      </c>
    </row>
    <row r="320" spans="1:13">
      <c r="A320" t="s">
        <v>374</v>
      </c>
      <c r="B320" s="1">
        <v>45848</v>
      </c>
      <c r="C320" t="s">
        <v>33</v>
      </c>
      <c r="D320" t="s">
        <v>17</v>
      </c>
      <c r="E320">
        <v>9</v>
      </c>
      <c r="F320" t="str">
        <f>_xlfn.XLOOKUP(tblAnalysis[[#This Row],[Product ID]], tblProducts[Product ID], tblProducts[Product Name])</f>
        <v>Iron</v>
      </c>
      <c r="G320" t="str">
        <f>_xlfn.XLOOKUP(tblAnalysis[[#This Row],[Product ID]], tblProducts[Product ID], tblProducts[Category])</f>
        <v>Home &amp; Living</v>
      </c>
      <c r="H320" s="22">
        <f>_xlfn.XLOOKUP(tblAnalysis[[#This Row],[Product ID]], tblProducts[Product ID], tblProducts[Unit Price])</f>
        <v>35</v>
      </c>
      <c r="I320" s="22">
        <f>_xlfn.XLOOKUP(tblAnalysis[[#This Row],[Product ID]], tblProducts[Product ID], tblProducts[Unit Cost])</f>
        <v>20</v>
      </c>
      <c r="J320" t="str">
        <f>_xlfn.XLOOKUP(tblAnalysis[[#This Row],[Rep ID]], tblReps[Rep ID], tblReps[Sales Rep])</f>
        <v>John</v>
      </c>
      <c r="K320" t="str">
        <f>_xlfn.XLOOKUP(tblAnalysis[[#This Row],[Rep ID]], tblReps[Rep ID], tblReps[Region])</f>
        <v>New York</v>
      </c>
      <c r="L320" s="22">
        <f>tblAnalysis[[#This Row],[Quantity]]*tblAnalysis[[#This Row],[Unit Price]]</f>
        <v>315</v>
      </c>
      <c r="M320" s="22">
        <f>tblAnalysis[[#This Row],[Quantity]]*(tblAnalysis[[#This Row],[Unit Price]]-tblAnalysis[[#This Row],[Unit Cost]])</f>
        <v>135</v>
      </c>
    </row>
    <row r="321" spans="1:13">
      <c r="A321" t="s">
        <v>375</v>
      </c>
      <c r="B321" s="1">
        <v>45849</v>
      </c>
      <c r="C321" t="s">
        <v>37</v>
      </c>
      <c r="D321" t="s">
        <v>26</v>
      </c>
      <c r="E321">
        <v>9</v>
      </c>
      <c r="F321" t="str">
        <f>_xlfn.XLOOKUP(tblAnalysis[[#This Row],[Product ID]], tblProducts[Product ID], tblProducts[Product Name])</f>
        <v>Shoes</v>
      </c>
      <c r="G321" t="str">
        <f>_xlfn.XLOOKUP(tblAnalysis[[#This Row],[Product ID]], tblProducts[Product ID], tblProducts[Category])</f>
        <v>Fashion</v>
      </c>
      <c r="H321" s="22">
        <f>_xlfn.XLOOKUP(tblAnalysis[[#This Row],[Product ID]], tblProducts[Product ID], tblProducts[Unit Price])</f>
        <v>75</v>
      </c>
      <c r="I321" s="22">
        <f>_xlfn.XLOOKUP(tblAnalysis[[#This Row],[Product ID]], tblProducts[Product ID], tblProducts[Unit Cost])</f>
        <v>40</v>
      </c>
      <c r="J321" t="str">
        <f>_xlfn.XLOOKUP(tblAnalysis[[#This Row],[Rep ID]], tblReps[Rep ID], tblReps[Sales Rep])</f>
        <v>Mike</v>
      </c>
      <c r="K321" t="str">
        <f>_xlfn.XLOOKUP(tblAnalysis[[#This Row],[Rep ID]], tblReps[Rep ID], tblReps[Region])</f>
        <v>Los Angeles</v>
      </c>
      <c r="L321" s="22">
        <f>tblAnalysis[[#This Row],[Quantity]]*tblAnalysis[[#This Row],[Unit Price]]</f>
        <v>675</v>
      </c>
      <c r="M321" s="22">
        <f>tblAnalysis[[#This Row],[Quantity]]*(tblAnalysis[[#This Row],[Unit Price]]-tblAnalysis[[#This Row],[Unit Cost]])</f>
        <v>315</v>
      </c>
    </row>
    <row r="322" spans="1:13">
      <c r="A322" t="s">
        <v>376</v>
      </c>
      <c r="B322" s="1">
        <v>45849</v>
      </c>
      <c r="C322" t="s">
        <v>37</v>
      </c>
      <c r="D322" t="s">
        <v>8</v>
      </c>
      <c r="E322">
        <v>2</v>
      </c>
      <c r="F322" t="str">
        <f>_xlfn.XLOOKUP(tblAnalysis[[#This Row],[Product ID]], tblProducts[Product ID], tblProducts[Product Name])</f>
        <v>Mouse</v>
      </c>
      <c r="G322" t="str">
        <f>_xlfn.XLOOKUP(tblAnalysis[[#This Row],[Product ID]], tblProducts[Product ID], tblProducts[Category])</f>
        <v>Electronics</v>
      </c>
      <c r="H322" s="22">
        <f>_xlfn.XLOOKUP(tblAnalysis[[#This Row],[Product ID]], tblProducts[Product ID], tblProducts[Unit Price])</f>
        <v>25</v>
      </c>
      <c r="I322" s="22">
        <f>_xlfn.XLOOKUP(tblAnalysis[[#This Row],[Product ID]], tblProducts[Product ID], tblProducts[Unit Cost])</f>
        <v>12</v>
      </c>
      <c r="J322" t="str">
        <f>_xlfn.XLOOKUP(tblAnalysis[[#This Row],[Rep ID]], tblReps[Rep ID], tblReps[Sales Rep])</f>
        <v>Mike</v>
      </c>
      <c r="K322" t="str">
        <f>_xlfn.XLOOKUP(tblAnalysis[[#This Row],[Rep ID]], tblReps[Rep ID], tblReps[Region])</f>
        <v>Los Angeles</v>
      </c>
      <c r="L322" s="22">
        <f>tblAnalysis[[#This Row],[Quantity]]*tblAnalysis[[#This Row],[Unit Price]]</f>
        <v>50</v>
      </c>
      <c r="M322" s="22">
        <f>tblAnalysis[[#This Row],[Quantity]]*(tblAnalysis[[#This Row],[Unit Price]]-tblAnalysis[[#This Row],[Unit Cost]])</f>
        <v>26</v>
      </c>
    </row>
    <row r="323" spans="1:13">
      <c r="A323" t="s">
        <v>377</v>
      </c>
      <c r="B323" s="1">
        <v>45849</v>
      </c>
      <c r="C323" t="s">
        <v>41</v>
      </c>
      <c r="D323" t="s">
        <v>19</v>
      </c>
      <c r="E323">
        <v>5</v>
      </c>
      <c r="F323" t="str">
        <f>_xlfn.XLOOKUP(tblAnalysis[[#This Row],[Product ID]], tblProducts[Product ID], tblProducts[Product Name])</f>
        <v>Fan</v>
      </c>
      <c r="G323" t="str">
        <f>_xlfn.XLOOKUP(tblAnalysis[[#This Row],[Product ID]], tblProducts[Product ID], tblProducts[Category])</f>
        <v>Home &amp; Living</v>
      </c>
      <c r="H323" s="22">
        <f>_xlfn.XLOOKUP(tblAnalysis[[#This Row],[Product ID]], tblProducts[Product ID], tblProducts[Unit Price])</f>
        <v>45</v>
      </c>
      <c r="I323" s="22">
        <f>_xlfn.XLOOKUP(tblAnalysis[[#This Row],[Product ID]], tblProducts[Product ID], tblProducts[Unit Cost])</f>
        <v>25</v>
      </c>
      <c r="J323" t="str">
        <f>_xlfn.XLOOKUP(tblAnalysis[[#This Row],[Rep ID]], tblReps[Rep ID], tblReps[Sales Rep])</f>
        <v>Sarah</v>
      </c>
      <c r="K323" t="str">
        <f>_xlfn.XLOOKUP(tblAnalysis[[#This Row],[Rep ID]], tblReps[Rep ID], tblReps[Region])</f>
        <v>Chicago</v>
      </c>
      <c r="L323" s="22">
        <f>tblAnalysis[[#This Row],[Quantity]]*tblAnalysis[[#This Row],[Unit Price]]</f>
        <v>225</v>
      </c>
      <c r="M323" s="22">
        <f>tblAnalysis[[#This Row],[Quantity]]*(tblAnalysis[[#This Row],[Unit Price]]-tblAnalysis[[#This Row],[Unit Cost]])</f>
        <v>100</v>
      </c>
    </row>
    <row r="324" spans="1:13">
      <c r="A324" t="s">
        <v>378</v>
      </c>
      <c r="B324" s="1">
        <v>45849</v>
      </c>
      <c r="C324" t="s">
        <v>41</v>
      </c>
      <c r="D324" t="s">
        <v>19</v>
      </c>
      <c r="E324">
        <v>9</v>
      </c>
      <c r="F324" t="str">
        <f>_xlfn.XLOOKUP(tblAnalysis[[#This Row],[Product ID]], tblProducts[Product ID], tblProducts[Product Name])</f>
        <v>Fan</v>
      </c>
      <c r="G324" t="str">
        <f>_xlfn.XLOOKUP(tblAnalysis[[#This Row],[Product ID]], tblProducts[Product ID], tblProducts[Category])</f>
        <v>Home &amp; Living</v>
      </c>
      <c r="H324" s="22">
        <f>_xlfn.XLOOKUP(tblAnalysis[[#This Row],[Product ID]], tblProducts[Product ID], tblProducts[Unit Price])</f>
        <v>45</v>
      </c>
      <c r="I324" s="22">
        <f>_xlfn.XLOOKUP(tblAnalysis[[#This Row],[Product ID]], tblProducts[Product ID], tblProducts[Unit Cost])</f>
        <v>25</v>
      </c>
      <c r="J324" t="str">
        <f>_xlfn.XLOOKUP(tblAnalysis[[#This Row],[Rep ID]], tblReps[Rep ID], tblReps[Sales Rep])</f>
        <v>Sarah</v>
      </c>
      <c r="K324" t="str">
        <f>_xlfn.XLOOKUP(tblAnalysis[[#This Row],[Rep ID]], tblReps[Rep ID], tblReps[Region])</f>
        <v>Chicago</v>
      </c>
      <c r="L324" s="22">
        <f>tblAnalysis[[#This Row],[Quantity]]*tblAnalysis[[#This Row],[Unit Price]]</f>
        <v>405</v>
      </c>
      <c r="M324" s="22">
        <f>tblAnalysis[[#This Row],[Quantity]]*(tblAnalysis[[#This Row],[Unit Price]]-tblAnalysis[[#This Row],[Unit Cost]])</f>
        <v>180</v>
      </c>
    </row>
    <row r="325" spans="1:13">
      <c r="A325" t="s">
        <v>379</v>
      </c>
      <c r="B325" s="1">
        <v>45851</v>
      </c>
      <c r="C325" t="s">
        <v>37</v>
      </c>
      <c r="D325" t="s">
        <v>24</v>
      </c>
      <c r="E325">
        <v>8</v>
      </c>
      <c r="F325" t="str">
        <f>_xlfn.XLOOKUP(tblAnalysis[[#This Row],[Product ID]], tblProducts[Product ID], tblProducts[Product Name])</f>
        <v>Pants</v>
      </c>
      <c r="G325" t="str">
        <f>_xlfn.XLOOKUP(tblAnalysis[[#This Row],[Product ID]], tblProducts[Product ID], tblProducts[Category])</f>
        <v>Fashion</v>
      </c>
      <c r="H325" s="22">
        <f>_xlfn.XLOOKUP(tblAnalysis[[#This Row],[Product ID]], tblProducts[Product ID], tblProducts[Unit Price])</f>
        <v>40</v>
      </c>
      <c r="I325" s="22">
        <f>_xlfn.XLOOKUP(tblAnalysis[[#This Row],[Product ID]], tblProducts[Product ID], tblProducts[Unit Cost])</f>
        <v>18</v>
      </c>
      <c r="J325" t="str">
        <f>_xlfn.XLOOKUP(tblAnalysis[[#This Row],[Rep ID]], tblReps[Rep ID], tblReps[Sales Rep])</f>
        <v>Mike</v>
      </c>
      <c r="K325" t="str">
        <f>_xlfn.XLOOKUP(tblAnalysis[[#This Row],[Rep ID]], tblReps[Rep ID], tblReps[Region])</f>
        <v>Los Angeles</v>
      </c>
      <c r="L325" s="22">
        <f>tblAnalysis[[#This Row],[Quantity]]*tblAnalysis[[#This Row],[Unit Price]]</f>
        <v>320</v>
      </c>
      <c r="M325" s="22">
        <f>tblAnalysis[[#This Row],[Quantity]]*(tblAnalysis[[#This Row],[Unit Price]]-tblAnalysis[[#This Row],[Unit Cost]])</f>
        <v>176</v>
      </c>
    </row>
    <row r="326" spans="1:13">
      <c r="A326" t="s">
        <v>380</v>
      </c>
      <c r="B326" s="1">
        <v>45852</v>
      </c>
      <c r="C326" t="s">
        <v>37</v>
      </c>
      <c r="D326" t="s">
        <v>21</v>
      </c>
      <c r="E326">
        <v>1</v>
      </c>
      <c r="F326" t="str">
        <f>_xlfn.XLOOKUP(tblAnalysis[[#This Row],[Product ID]], tblProducts[Product ID], tblProducts[Product Name])</f>
        <v>T-Shirt</v>
      </c>
      <c r="G326" t="str">
        <f>_xlfn.XLOOKUP(tblAnalysis[[#This Row],[Product ID]], tblProducts[Product ID], tblProducts[Category])</f>
        <v>Fashion</v>
      </c>
      <c r="H326" s="22">
        <f>_xlfn.XLOOKUP(tblAnalysis[[#This Row],[Product ID]], tblProducts[Product ID], tblProducts[Unit Price])</f>
        <v>20</v>
      </c>
      <c r="I326" s="22">
        <f>_xlfn.XLOOKUP(tblAnalysis[[#This Row],[Product ID]], tblProducts[Product ID], tblProducts[Unit Cost])</f>
        <v>8</v>
      </c>
      <c r="J326" t="str">
        <f>_xlfn.XLOOKUP(tblAnalysis[[#This Row],[Rep ID]], tblReps[Rep ID], tblReps[Sales Rep])</f>
        <v>Mike</v>
      </c>
      <c r="K326" t="str">
        <f>_xlfn.XLOOKUP(tblAnalysis[[#This Row],[Rep ID]], tblReps[Rep ID], tblReps[Region])</f>
        <v>Los Angeles</v>
      </c>
      <c r="L326" s="22">
        <f>tblAnalysis[[#This Row],[Quantity]]*tblAnalysis[[#This Row],[Unit Price]]</f>
        <v>20</v>
      </c>
      <c r="M326" s="22">
        <f>tblAnalysis[[#This Row],[Quantity]]*(tblAnalysis[[#This Row],[Unit Price]]-tblAnalysis[[#This Row],[Unit Cost]])</f>
        <v>12</v>
      </c>
    </row>
    <row r="327" spans="1:13">
      <c r="A327" t="s">
        <v>381</v>
      </c>
      <c r="B327" s="1">
        <v>45853</v>
      </c>
      <c r="C327" t="s">
        <v>33</v>
      </c>
      <c r="D327" t="s">
        <v>12</v>
      </c>
      <c r="E327">
        <v>1</v>
      </c>
      <c r="F327" t="str">
        <f>_xlfn.XLOOKUP(tblAnalysis[[#This Row],[Product ID]], tblProducts[Product ID], tblProducts[Product Name])</f>
        <v>Webcam</v>
      </c>
      <c r="G327" t="str">
        <f>_xlfn.XLOOKUP(tblAnalysis[[#This Row],[Product ID]], tblProducts[Product ID], tblProducts[Category])</f>
        <v>Electronics</v>
      </c>
      <c r="H327" s="22">
        <f>_xlfn.XLOOKUP(tblAnalysis[[#This Row],[Product ID]], tblProducts[Product ID], tblProducts[Unit Price])</f>
        <v>60</v>
      </c>
      <c r="I327" s="22">
        <f>_xlfn.XLOOKUP(tblAnalysis[[#This Row],[Product ID]], tblProducts[Product ID], tblProducts[Unit Cost])</f>
        <v>35</v>
      </c>
      <c r="J327" t="str">
        <f>_xlfn.XLOOKUP(tblAnalysis[[#This Row],[Rep ID]], tblReps[Rep ID], tblReps[Sales Rep])</f>
        <v>John</v>
      </c>
      <c r="K327" t="str">
        <f>_xlfn.XLOOKUP(tblAnalysis[[#This Row],[Rep ID]], tblReps[Rep ID], tblReps[Region])</f>
        <v>New York</v>
      </c>
      <c r="L327" s="22">
        <f>tblAnalysis[[#This Row],[Quantity]]*tblAnalysis[[#This Row],[Unit Price]]</f>
        <v>60</v>
      </c>
      <c r="M327" s="22">
        <f>tblAnalysis[[#This Row],[Quantity]]*(tblAnalysis[[#This Row],[Unit Price]]-tblAnalysis[[#This Row],[Unit Cost]])</f>
        <v>25</v>
      </c>
    </row>
    <row r="328" spans="1:13">
      <c r="A328" t="s">
        <v>382</v>
      </c>
      <c r="B328" s="1">
        <v>45853</v>
      </c>
      <c r="C328" t="s">
        <v>41</v>
      </c>
      <c r="D328" t="s">
        <v>17</v>
      </c>
      <c r="E328">
        <v>5</v>
      </c>
      <c r="F328" t="str">
        <f>_xlfn.XLOOKUP(tblAnalysis[[#This Row],[Product ID]], tblProducts[Product ID], tblProducts[Product Name])</f>
        <v>Iron</v>
      </c>
      <c r="G328" t="str">
        <f>_xlfn.XLOOKUP(tblAnalysis[[#This Row],[Product ID]], tblProducts[Product ID], tblProducts[Category])</f>
        <v>Home &amp; Living</v>
      </c>
      <c r="H328" s="22">
        <f>_xlfn.XLOOKUP(tblAnalysis[[#This Row],[Product ID]], tblProducts[Product ID], tblProducts[Unit Price])</f>
        <v>35</v>
      </c>
      <c r="I328" s="22">
        <f>_xlfn.XLOOKUP(tblAnalysis[[#This Row],[Product ID]], tblProducts[Product ID], tblProducts[Unit Cost])</f>
        <v>20</v>
      </c>
      <c r="J328" t="str">
        <f>_xlfn.XLOOKUP(tblAnalysis[[#This Row],[Rep ID]], tblReps[Rep ID], tblReps[Sales Rep])</f>
        <v>Sarah</v>
      </c>
      <c r="K328" t="str">
        <f>_xlfn.XLOOKUP(tblAnalysis[[#This Row],[Rep ID]], tblReps[Rep ID], tblReps[Region])</f>
        <v>Chicago</v>
      </c>
      <c r="L328" s="22">
        <f>tblAnalysis[[#This Row],[Quantity]]*tblAnalysis[[#This Row],[Unit Price]]</f>
        <v>175</v>
      </c>
      <c r="M328" s="22">
        <f>tblAnalysis[[#This Row],[Quantity]]*(tblAnalysis[[#This Row],[Unit Price]]-tblAnalysis[[#This Row],[Unit Cost]])</f>
        <v>75</v>
      </c>
    </row>
    <row r="329" spans="1:13">
      <c r="A329" t="s">
        <v>383</v>
      </c>
      <c r="B329" s="1">
        <v>45855</v>
      </c>
      <c r="C329" t="s">
        <v>41</v>
      </c>
      <c r="D329" t="s">
        <v>12</v>
      </c>
      <c r="E329">
        <v>1</v>
      </c>
      <c r="F329" t="str">
        <f>_xlfn.XLOOKUP(tblAnalysis[[#This Row],[Product ID]], tblProducts[Product ID], tblProducts[Product Name])</f>
        <v>Webcam</v>
      </c>
      <c r="G329" t="str">
        <f>_xlfn.XLOOKUP(tblAnalysis[[#This Row],[Product ID]], tblProducts[Product ID], tblProducts[Category])</f>
        <v>Electronics</v>
      </c>
      <c r="H329" s="22">
        <f>_xlfn.XLOOKUP(tblAnalysis[[#This Row],[Product ID]], tblProducts[Product ID], tblProducts[Unit Price])</f>
        <v>60</v>
      </c>
      <c r="I329" s="22">
        <f>_xlfn.XLOOKUP(tblAnalysis[[#This Row],[Product ID]], tblProducts[Product ID], tblProducts[Unit Cost])</f>
        <v>35</v>
      </c>
      <c r="J329" t="str">
        <f>_xlfn.XLOOKUP(tblAnalysis[[#This Row],[Rep ID]], tblReps[Rep ID], tblReps[Sales Rep])</f>
        <v>Sarah</v>
      </c>
      <c r="K329" t="str">
        <f>_xlfn.XLOOKUP(tblAnalysis[[#This Row],[Rep ID]], tblReps[Rep ID], tblReps[Region])</f>
        <v>Chicago</v>
      </c>
      <c r="L329" s="22">
        <f>tblAnalysis[[#This Row],[Quantity]]*tblAnalysis[[#This Row],[Unit Price]]</f>
        <v>60</v>
      </c>
      <c r="M329" s="22">
        <f>tblAnalysis[[#This Row],[Quantity]]*(tblAnalysis[[#This Row],[Unit Price]]-tblAnalysis[[#This Row],[Unit Cost]])</f>
        <v>25</v>
      </c>
    </row>
    <row r="330" spans="1:13">
      <c r="A330" t="s">
        <v>384</v>
      </c>
      <c r="B330" s="1">
        <v>45855</v>
      </c>
      <c r="C330" t="s">
        <v>41</v>
      </c>
      <c r="D330" t="s">
        <v>24</v>
      </c>
      <c r="E330">
        <v>6</v>
      </c>
      <c r="F330" t="str">
        <f>_xlfn.XLOOKUP(tblAnalysis[[#This Row],[Product ID]], tblProducts[Product ID], tblProducts[Product Name])</f>
        <v>Pants</v>
      </c>
      <c r="G330" t="str">
        <f>_xlfn.XLOOKUP(tblAnalysis[[#This Row],[Product ID]], tblProducts[Product ID], tblProducts[Category])</f>
        <v>Fashion</v>
      </c>
      <c r="H330" s="22">
        <f>_xlfn.XLOOKUP(tblAnalysis[[#This Row],[Product ID]], tblProducts[Product ID], tblProducts[Unit Price])</f>
        <v>40</v>
      </c>
      <c r="I330" s="22">
        <f>_xlfn.XLOOKUP(tblAnalysis[[#This Row],[Product ID]], tblProducts[Product ID], tblProducts[Unit Cost])</f>
        <v>18</v>
      </c>
      <c r="J330" t="str">
        <f>_xlfn.XLOOKUP(tblAnalysis[[#This Row],[Rep ID]], tblReps[Rep ID], tblReps[Sales Rep])</f>
        <v>Sarah</v>
      </c>
      <c r="K330" t="str">
        <f>_xlfn.XLOOKUP(tblAnalysis[[#This Row],[Rep ID]], tblReps[Rep ID], tblReps[Region])</f>
        <v>Chicago</v>
      </c>
      <c r="L330" s="22">
        <f>tblAnalysis[[#This Row],[Quantity]]*tblAnalysis[[#This Row],[Unit Price]]</f>
        <v>240</v>
      </c>
      <c r="M330" s="22">
        <f>tblAnalysis[[#This Row],[Quantity]]*(tblAnalysis[[#This Row],[Unit Price]]-tblAnalysis[[#This Row],[Unit Cost]])</f>
        <v>132</v>
      </c>
    </row>
    <row r="331" spans="1:13">
      <c r="A331" t="s">
        <v>385</v>
      </c>
      <c r="B331" s="1">
        <v>45855</v>
      </c>
      <c r="C331" t="s">
        <v>49</v>
      </c>
      <c r="D331" t="s">
        <v>21</v>
      </c>
      <c r="E331">
        <v>1</v>
      </c>
      <c r="F331" t="str">
        <f>_xlfn.XLOOKUP(tblAnalysis[[#This Row],[Product ID]], tblProducts[Product ID], tblProducts[Product Name])</f>
        <v>T-Shirt</v>
      </c>
      <c r="G331" t="str">
        <f>_xlfn.XLOOKUP(tblAnalysis[[#This Row],[Product ID]], tblProducts[Product ID], tblProducts[Category])</f>
        <v>Fashion</v>
      </c>
      <c r="H331" s="22">
        <f>_xlfn.XLOOKUP(tblAnalysis[[#This Row],[Product ID]], tblProducts[Product ID], tblProducts[Unit Price])</f>
        <v>20</v>
      </c>
      <c r="I331" s="22">
        <f>_xlfn.XLOOKUP(tblAnalysis[[#This Row],[Product ID]], tblProducts[Product ID], tblProducts[Unit Cost])</f>
        <v>8</v>
      </c>
      <c r="J331" t="str">
        <f>_xlfn.XLOOKUP(tblAnalysis[[#This Row],[Rep ID]], tblReps[Rep ID], tblReps[Sales Rep])</f>
        <v>Emma</v>
      </c>
      <c r="K331" t="str">
        <f>_xlfn.XLOOKUP(tblAnalysis[[#This Row],[Rep ID]], tblReps[Rep ID], tblReps[Region])</f>
        <v>Miami</v>
      </c>
      <c r="L331" s="22">
        <f>tblAnalysis[[#This Row],[Quantity]]*tblAnalysis[[#This Row],[Unit Price]]</f>
        <v>20</v>
      </c>
      <c r="M331" s="22">
        <f>tblAnalysis[[#This Row],[Quantity]]*(tblAnalysis[[#This Row],[Unit Price]]-tblAnalysis[[#This Row],[Unit Cost]])</f>
        <v>12</v>
      </c>
    </row>
    <row r="332" spans="1:13">
      <c r="A332" t="s">
        <v>386</v>
      </c>
      <c r="B332" s="1">
        <v>45856</v>
      </c>
      <c r="C332" t="s">
        <v>49</v>
      </c>
      <c r="D332" t="s">
        <v>17</v>
      </c>
      <c r="E332">
        <v>6</v>
      </c>
      <c r="F332" t="str">
        <f>_xlfn.XLOOKUP(tblAnalysis[[#This Row],[Product ID]], tblProducts[Product ID], tblProducts[Product Name])</f>
        <v>Iron</v>
      </c>
      <c r="G332" t="str">
        <f>_xlfn.XLOOKUP(tblAnalysis[[#This Row],[Product ID]], tblProducts[Product ID], tblProducts[Category])</f>
        <v>Home &amp; Living</v>
      </c>
      <c r="H332" s="22">
        <f>_xlfn.XLOOKUP(tblAnalysis[[#This Row],[Product ID]], tblProducts[Product ID], tblProducts[Unit Price])</f>
        <v>35</v>
      </c>
      <c r="I332" s="22">
        <f>_xlfn.XLOOKUP(tblAnalysis[[#This Row],[Product ID]], tblProducts[Product ID], tblProducts[Unit Cost])</f>
        <v>20</v>
      </c>
      <c r="J332" t="str">
        <f>_xlfn.XLOOKUP(tblAnalysis[[#This Row],[Rep ID]], tblReps[Rep ID], tblReps[Sales Rep])</f>
        <v>Emma</v>
      </c>
      <c r="K332" t="str">
        <f>_xlfn.XLOOKUP(tblAnalysis[[#This Row],[Rep ID]], tblReps[Rep ID], tblReps[Region])</f>
        <v>Miami</v>
      </c>
      <c r="L332" s="22">
        <f>tblAnalysis[[#This Row],[Quantity]]*tblAnalysis[[#This Row],[Unit Price]]</f>
        <v>210</v>
      </c>
      <c r="M332" s="22">
        <f>tblAnalysis[[#This Row],[Quantity]]*(tblAnalysis[[#This Row],[Unit Price]]-tblAnalysis[[#This Row],[Unit Cost]])</f>
        <v>90</v>
      </c>
    </row>
    <row r="333" spans="1:13">
      <c r="A333" t="s">
        <v>387</v>
      </c>
      <c r="B333" s="1">
        <v>45858</v>
      </c>
      <c r="C333" t="s">
        <v>33</v>
      </c>
      <c r="D333" t="s">
        <v>26</v>
      </c>
      <c r="E333">
        <v>2</v>
      </c>
      <c r="F333" t="str">
        <f>_xlfn.XLOOKUP(tblAnalysis[[#This Row],[Product ID]], tblProducts[Product ID], tblProducts[Product Name])</f>
        <v>Shoes</v>
      </c>
      <c r="G333" t="str">
        <f>_xlfn.XLOOKUP(tblAnalysis[[#This Row],[Product ID]], tblProducts[Product ID], tblProducts[Category])</f>
        <v>Fashion</v>
      </c>
      <c r="H333" s="22">
        <f>_xlfn.XLOOKUP(tblAnalysis[[#This Row],[Product ID]], tblProducts[Product ID], tblProducts[Unit Price])</f>
        <v>75</v>
      </c>
      <c r="I333" s="22">
        <f>_xlfn.XLOOKUP(tblAnalysis[[#This Row],[Product ID]], tblProducts[Product ID], tblProducts[Unit Cost])</f>
        <v>40</v>
      </c>
      <c r="J333" t="str">
        <f>_xlfn.XLOOKUP(tblAnalysis[[#This Row],[Rep ID]], tblReps[Rep ID], tblReps[Sales Rep])</f>
        <v>John</v>
      </c>
      <c r="K333" t="str">
        <f>_xlfn.XLOOKUP(tblAnalysis[[#This Row],[Rep ID]], tblReps[Rep ID], tblReps[Region])</f>
        <v>New York</v>
      </c>
      <c r="L333" s="22">
        <f>tblAnalysis[[#This Row],[Quantity]]*tblAnalysis[[#This Row],[Unit Price]]</f>
        <v>150</v>
      </c>
      <c r="M333" s="22">
        <f>tblAnalysis[[#This Row],[Quantity]]*(tblAnalysis[[#This Row],[Unit Price]]-tblAnalysis[[#This Row],[Unit Cost]])</f>
        <v>70</v>
      </c>
    </row>
    <row r="334" spans="1:13">
      <c r="A334" t="s">
        <v>388</v>
      </c>
      <c r="B334" s="1">
        <v>45858</v>
      </c>
      <c r="C334" t="s">
        <v>33</v>
      </c>
      <c r="D334" t="s">
        <v>17</v>
      </c>
      <c r="E334">
        <v>2</v>
      </c>
      <c r="F334" t="str">
        <f>_xlfn.XLOOKUP(tblAnalysis[[#This Row],[Product ID]], tblProducts[Product ID], tblProducts[Product Name])</f>
        <v>Iron</v>
      </c>
      <c r="G334" t="str">
        <f>_xlfn.XLOOKUP(tblAnalysis[[#This Row],[Product ID]], tblProducts[Product ID], tblProducts[Category])</f>
        <v>Home &amp; Living</v>
      </c>
      <c r="H334" s="22">
        <f>_xlfn.XLOOKUP(tblAnalysis[[#This Row],[Product ID]], tblProducts[Product ID], tblProducts[Unit Price])</f>
        <v>35</v>
      </c>
      <c r="I334" s="22">
        <f>_xlfn.XLOOKUP(tblAnalysis[[#This Row],[Product ID]], tblProducts[Product ID], tblProducts[Unit Cost])</f>
        <v>20</v>
      </c>
      <c r="J334" t="str">
        <f>_xlfn.XLOOKUP(tblAnalysis[[#This Row],[Rep ID]], tblReps[Rep ID], tblReps[Sales Rep])</f>
        <v>John</v>
      </c>
      <c r="K334" t="str">
        <f>_xlfn.XLOOKUP(tblAnalysis[[#This Row],[Rep ID]], tblReps[Rep ID], tblReps[Region])</f>
        <v>New York</v>
      </c>
      <c r="L334" s="22">
        <f>tblAnalysis[[#This Row],[Quantity]]*tblAnalysis[[#This Row],[Unit Price]]</f>
        <v>70</v>
      </c>
      <c r="M334" s="22">
        <f>tblAnalysis[[#This Row],[Quantity]]*(tblAnalysis[[#This Row],[Unit Price]]-tblAnalysis[[#This Row],[Unit Cost]])</f>
        <v>30</v>
      </c>
    </row>
    <row r="335" spans="1:13">
      <c r="A335" t="s">
        <v>389</v>
      </c>
      <c r="B335" s="1">
        <v>45859</v>
      </c>
      <c r="C335" t="s">
        <v>33</v>
      </c>
      <c r="D335" t="s">
        <v>14</v>
      </c>
      <c r="E335">
        <v>9</v>
      </c>
      <c r="F335" t="str">
        <f>_xlfn.XLOOKUP(tblAnalysis[[#This Row],[Product ID]], tblProducts[Product ID], tblProducts[Product Name])</f>
        <v>Blender</v>
      </c>
      <c r="G335" t="str">
        <f>_xlfn.XLOOKUP(tblAnalysis[[#This Row],[Product ID]], tblProducts[Product ID], tblProducts[Category])</f>
        <v>Home &amp; Living</v>
      </c>
      <c r="H335" s="22">
        <f>_xlfn.XLOOKUP(tblAnalysis[[#This Row],[Product ID]], tblProducts[Product ID], tblProducts[Unit Price])</f>
        <v>50</v>
      </c>
      <c r="I335" s="22">
        <f>_xlfn.XLOOKUP(tblAnalysis[[#This Row],[Product ID]], tblProducts[Product ID], tblProducts[Unit Cost])</f>
        <v>30</v>
      </c>
      <c r="J335" t="str">
        <f>_xlfn.XLOOKUP(tblAnalysis[[#This Row],[Rep ID]], tblReps[Rep ID], tblReps[Sales Rep])</f>
        <v>John</v>
      </c>
      <c r="K335" t="str">
        <f>_xlfn.XLOOKUP(tblAnalysis[[#This Row],[Rep ID]], tblReps[Rep ID], tblReps[Region])</f>
        <v>New York</v>
      </c>
      <c r="L335" s="22">
        <f>tblAnalysis[[#This Row],[Quantity]]*tblAnalysis[[#This Row],[Unit Price]]</f>
        <v>450</v>
      </c>
      <c r="M335" s="22">
        <f>tblAnalysis[[#This Row],[Quantity]]*(tblAnalysis[[#This Row],[Unit Price]]-tblAnalysis[[#This Row],[Unit Cost]])</f>
        <v>180</v>
      </c>
    </row>
    <row r="336" spans="1:13">
      <c r="A336" t="s">
        <v>390</v>
      </c>
      <c r="B336" s="1">
        <v>45860</v>
      </c>
      <c r="C336" t="s">
        <v>37</v>
      </c>
      <c r="D336" t="s">
        <v>5</v>
      </c>
      <c r="E336">
        <v>10</v>
      </c>
      <c r="F336" t="str">
        <f>_xlfn.XLOOKUP(tblAnalysis[[#This Row],[Product ID]], tblProducts[Product ID], tblProducts[Product Name])</f>
        <v>Headset</v>
      </c>
      <c r="G336" t="str">
        <f>_xlfn.XLOOKUP(tblAnalysis[[#This Row],[Product ID]], tblProducts[Product ID], tblProducts[Category])</f>
        <v>Electronics</v>
      </c>
      <c r="H336" s="22">
        <f>_xlfn.XLOOKUP(tblAnalysis[[#This Row],[Product ID]], tblProducts[Product ID], tblProducts[Unit Price])</f>
        <v>75</v>
      </c>
      <c r="I336" s="22">
        <f>_xlfn.XLOOKUP(tblAnalysis[[#This Row],[Product ID]], tblProducts[Product ID], tblProducts[Unit Cost])</f>
        <v>45</v>
      </c>
      <c r="J336" t="str">
        <f>_xlfn.XLOOKUP(tblAnalysis[[#This Row],[Rep ID]], tblReps[Rep ID], tblReps[Sales Rep])</f>
        <v>Mike</v>
      </c>
      <c r="K336" t="str">
        <f>_xlfn.XLOOKUP(tblAnalysis[[#This Row],[Rep ID]], tblReps[Rep ID], tblReps[Region])</f>
        <v>Los Angeles</v>
      </c>
      <c r="L336" s="22">
        <f>tblAnalysis[[#This Row],[Quantity]]*tblAnalysis[[#This Row],[Unit Price]]</f>
        <v>750</v>
      </c>
      <c r="M336" s="22">
        <f>tblAnalysis[[#This Row],[Quantity]]*(tblAnalysis[[#This Row],[Unit Price]]-tblAnalysis[[#This Row],[Unit Cost]])</f>
        <v>300</v>
      </c>
    </row>
    <row r="337" spans="1:13">
      <c r="A337" t="s">
        <v>391</v>
      </c>
      <c r="B337" s="1">
        <v>45861</v>
      </c>
      <c r="C337" t="s">
        <v>37</v>
      </c>
      <c r="D337" t="s">
        <v>24</v>
      </c>
      <c r="E337">
        <v>10</v>
      </c>
      <c r="F337" t="str">
        <f>_xlfn.XLOOKUP(tblAnalysis[[#This Row],[Product ID]], tblProducts[Product ID], tblProducts[Product Name])</f>
        <v>Pants</v>
      </c>
      <c r="G337" t="str">
        <f>_xlfn.XLOOKUP(tblAnalysis[[#This Row],[Product ID]], tblProducts[Product ID], tblProducts[Category])</f>
        <v>Fashion</v>
      </c>
      <c r="H337" s="22">
        <f>_xlfn.XLOOKUP(tblAnalysis[[#This Row],[Product ID]], tblProducts[Product ID], tblProducts[Unit Price])</f>
        <v>40</v>
      </c>
      <c r="I337" s="22">
        <f>_xlfn.XLOOKUP(tblAnalysis[[#This Row],[Product ID]], tblProducts[Product ID], tblProducts[Unit Cost])</f>
        <v>18</v>
      </c>
      <c r="J337" t="str">
        <f>_xlfn.XLOOKUP(tblAnalysis[[#This Row],[Rep ID]], tblReps[Rep ID], tblReps[Sales Rep])</f>
        <v>Mike</v>
      </c>
      <c r="K337" t="str">
        <f>_xlfn.XLOOKUP(tblAnalysis[[#This Row],[Rep ID]], tblReps[Rep ID], tblReps[Region])</f>
        <v>Los Angeles</v>
      </c>
      <c r="L337" s="22">
        <f>tblAnalysis[[#This Row],[Quantity]]*tblAnalysis[[#This Row],[Unit Price]]</f>
        <v>400</v>
      </c>
      <c r="M337" s="22">
        <f>tblAnalysis[[#This Row],[Quantity]]*(tblAnalysis[[#This Row],[Unit Price]]-tblAnalysis[[#This Row],[Unit Cost]])</f>
        <v>220</v>
      </c>
    </row>
    <row r="338" spans="1:13">
      <c r="A338" t="s">
        <v>392</v>
      </c>
      <c r="B338" s="1">
        <v>45863</v>
      </c>
      <c r="C338" t="s">
        <v>49</v>
      </c>
      <c r="D338" t="s">
        <v>19</v>
      </c>
      <c r="E338">
        <v>2</v>
      </c>
      <c r="F338" t="str">
        <f>_xlfn.XLOOKUP(tblAnalysis[[#This Row],[Product ID]], tblProducts[Product ID], tblProducts[Product Name])</f>
        <v>Fan</v>
      </c>
      <c r="G338" t="str">
        <f>_xlfn.XLOOKUP(tblAnalysis[[#This Row],[Product ID]], tblProducts[Product ID], tblProducts[Category])</f>
        <v>Home &amp; Living</v>
      </c>
      <c r="H338" s="22">
        <f>_xlfn.XLOOKUP(tblAnalysis[[#This Row],[Product ID]], tblProducts[Product ID], tblProducts[Unit Price])</f>
        <v>45</v>
      </c>
      <c r="I338" s="22">
        <f>_xlfn.XLOOKUP(tblAnalysis[[#This Row],[Product ID]], tblProducts[Product ID], tblProducts[Unit Cost])</f>
        <v>25</v>
      </c>
      <c r="J338" t="str">
        <f>_xlfn.XLOOKUP(tblAnalysis[[#This Row],[Rep ID]], tblReps[Rep ID], tblReps[Sales Rep])</f>
        <v>Emma</v>
      </c>
      <c r="K338" t="str">
        <f>_xlfn.XLOOKUP(tblAnalysis[[#This Row],[Rep ID]], tblReps[Rep ID], tblReps[Region])</f>
        <v>Miami</v>
      </c>
      <c r="L338" s="22">
        <f>tblAnalysis[[#This Row],[Quantity]]*tblAnalysis[[#This Row],[Unit Price]]</f>
        <v>90</v>
      </c>
      <c r="M338" s="22">
        <f>tblAnalysis[[#This Row],[Quantity]]*(tblAnalysis[[#This Row],[Unit Price]]-tblAnalysis[[#This Row],[Unit Cost]])</f>
        <v>40</v>
      </c>
    </row>
    <row r="339" spans="1:13">
      <c r="A339" t="s">
        <v>393</v>
      </c>
      <c r="B339" s="1">
        <v>45863</v>
      </c>
      <c r="C339" t="s">
        <v>49</v>
      </c>
      <c r="D339" t="s">
        <v>12</v>
      </c>
      <c r="E339">
        <v>10</v>
      </c>
      <c r="F339" t="str">
        <f>_xlfn.XLOOKUP(tblAnalysis[[#This Row],[Product ID]], tblProducts[Product ID], tblProducts[Product Name])</f>
        <v>Webcam</v>
      </c>
      <c r="G339" t="str">
        <f>_xlfn.XLOOKUP(tblAnalysis[[#This Row],[Product ID]], tblProducts[Product ID], tblProducts[Category])</f>
        <v>Electronics</v>
      </c>
      <c r="H339" s="22">
        <f>_xlfn.XLOOKUP(tblAnalysis[[#This Row],[Product ID]], tblProducts[Product ID], tblProducts[Unit Price])</f>
        <v>60</v>
      </c>
      <c r="I339" s="22">
        <f>_xlfn.XLOOKUP(tblAnalysis[[#This Row],[Product ID]], tblProducts[Product ID], tblProducts[Unit Cost])</f>
        <v>35</v>
      </c>
      <c r="J339" t="str">
        <f>_xlfn.XLOOKUP(tblAnalysis[[#This Row],[Rep ID]], tblReps[Rep ID], tblReps[Sales Rep])</f>
        <v>Emma</v>
      </c>
      <c r="K339" t="str">
        <f>_xlfn.XLOOKUP(tblAnalysis[[#This Row],[Rep ID]], tblReps[Rep ID], tblReps[Region])</f>
        <v>Miami</v>
      </c>
      <c r="L339" s="22">
        <f>tblAnalysis[[#This Row],[Quantity]]*tblAnalysis[[#This Row],[Unit Price]]</f>
        <v>600</v>
      </c>
      <c r="M339" s="22">
        <f>tblAnalysis[[#This Row],[Quantity]]*(tblAnalysis[[#This Row],[Unit Price]]-tblAnalysis[[#This Row],[Unit Cost]])</f>
        <v>250</v>
      </c>
    </row>
    <row r="340" spans="1:13">
      <c r="A340" t="s">
        <v>394</v>
      </c>
      <c r="B340" s="1">
        <v>45864</v>
      </c>
      <c r="C340" t="s">
        <v>41</v>
      </c>
      <c r="D340" t="s">
        <v>19</v>
      </c>
      <c r="E340">
        <v>3</v>
      </c>
      <c r="F340" t="str">
        <f>_xlfn.XLOOKUP(tblAnalysis[[#This Row],[Product ID]], tblProducts[Product ID], tblProducts[Product Name])</f>
        <v>Fan</v>
      </c>
      <c r="G340" t="str">
        <f>_xlfn.XLOOKUP(tblAnalysis[[#This Row],[Product ID]], tblProducts[Product ID], tblProducts[Category])</f>
        <v>Home &amp; Living</v>
      </c>
      <c r="H340" s="22">
        <f>_xlfn.XLOOKUP(tblAnalysis[[#This Row],[Product ID]], tblProducts[Product ID], tblProducts[Unit Price])</f>
        <v>45</v>
      </c>
      <c r="I340" s="22">
        <f>_xlfn.XLOOKUP(tblAnalysis[[#This Row],[Product ID]], tblProducts[Product ID], tblProducts[Unit Cost])</f>
        <v>25</v>
      </c>
      <c r="J340" t="str">
        <f>_xlfn.XLOOKUP(tblAnalysis[[#This Row],[Rep ID]], tblReps[Rep ID], tblReps[Sales Rep])</f>
        <v>Sarah</v>
      </c>
      <c r="K340" t="str">
        <f>_xlfn.XLOOKUP(tblAnalysis[[#This Row],[Rep ID]], tblReps[Rep ID], tblReps[Region])</f>
        <v>Chicago</v>
      </c>
      <c r="L340" s="22">
        <f>tblAnalysis[[#This Row],[Quantity]]*tblAnalysis[[#This Row],[Unit Price]]</f>
        <v>135</v>
      </c>
      <c r="M340" s="22">
        <f>tblAnalysis[[#This Row],[Quantity]]*(tblAnalysis[[#This Row],[Unit Price]]-tblAnalysis[[#This Row],[Unit Cost]])</f>
        <v>60</v>
      </c>
    </row>
    <row r="341" spans="1:13">
      <c r="A341" t="s">
        <v>395</v>
      </c>
      <c r="B341" s="1">
        <v>45865</v>
      </c>
      <c r="C341" t="s">
        <v>33</v>
      </c>
      <c r="D341" t="s">
        <v>21</v>
      </c>
      <c r="E341">
        <v>9</v>
      </c>
      <c r="F341" t="str">
        <f>_xlfn.XLOOKUP(tblAnalysis[[#This Row],[Product ID]], tblProducts[Product ID], tblProducts[Product Name])</f>
        <v>T-Shirt</v>
      </c>
      <c r="G341" t="str">
        <f>_xlfn.XLOOKUP(tblAnalysis[[#This Row],[Product ID]], tblProducts[Product ID], tblProducts[Category])</f>
        <v>Fashion</v>
      </c>
      <c r="H341" s="22">
        <f>_xlfn.XLOOKUP(tblAnalysis[[#This Row],[Product ID]], tblProducts[Product ID], tblProducts[Unit Price])</f>
        <v>20</v>
      </c>
      <c r="I341" s="22">
        <f>_xlfn.XLOOKUP(tblAnalysis[[#This Row],[Product ID]], tblProducts[Product ID], tblProducts[Unit Cost])</f>
        <v>8</v>
      </c>
      <c r="J341" t="str">
        <f>_xlfn.XLOOKUP(tblAnalysis[[#This Row],[Rep ID]], tblReps[Rep ID], tblReps[Sales Rep])</f>
        <v>John</v>
      </c>
      <c r="K341" t="str">
        <f>_xlfn.XLOOKUP(tblAnalysis[[#This Row],[Rep ID]], tblReps[Rep ID], tblReps[Region])</f>
        <v>New York</v>
      </c>
      <c r="L341" s="22">
        <f>tblAnalysis[[#This Row],[Quantity]]*tblAnalysis[[#This Row],[Unit Price]]</f>
        <v>180</v>
      </c>
      <c r="M341" s="22">
        <f>tblAnalysis[[#This Row],[Quantity]]*(tblAnalysis[[#This Row],[Unit Price]]-tblAnalysis[[#This Row],[Unit Cost]])</f>
        <v>108</v>
      </c>
    </row>
    <row r="342" spans="1:13">
      <c r="A342" t="s">
        <v>396</v>
      </c>
      <c r="B342" s="1">
        <v>45865</v>
      </c>
      <c r="C342" t="s">
        <v>41</v>
      </c>
      <c r="D342" t="s">
        <v>8</v>
      </c>
      <c r="E342">
        <v>10</v>
      </c>
      <c r="F342" t="str">
        <f>_xlfn.XLOOKUP(tblAnalysis[[#This Row],[Product ID]], tblProducts[Product ID], tblProducts[Product Name])</f>
        <v>Mouse</v>
      </c>
      <c r="G342" t="str">
        <f>_xlfn.XLOOKUP(tblAnalysis[[#This Row],[Product ID]], tblProducts[Product ID], tblProducts[Category])</f>
        <v>Electronics</v>
      </c>
      <c r="H342" s="22">
        <f>_xlfn.XLOOKUP(tblAnalysis[[#This Row],[Product ID]], tblProducts[Product ID], tblProducts[Unit Price])</f>
        <v>25</v>
      </c>
      <c r="I342" s="22">
        <f>_xlfn.XLOOKUP(tblAnalysis[[#This Row],[Product ID]], tblProducts[Product ID], tblProducts[Unit Cost])</f>
        <v>12</v>
      </c>
      <c r="J342" t="str">
        <f>_xlfn.XLOOKUP(tblAnalysis[[#This Row],[Rep ID]], tblReps[Rep ID], tblReps[Sales Rep])</f>
        <v>Sarah</v>
      </c>
      <c r="K342" t="str">
        <f>_xlfn.XLOOKUP(tblAnalysis[[#This Row],[Rep ID]], tblReps[Rep ID], tblReps[Region])</f>
        <v>Chicago</v>
      </c>
      <c r="L342" s="22">
        <f>tblAnalysis[[#This Row],[Quantity]]*tblAnalysis[[#This Row],[Unit Price]]</f>
        <v>250</v>
      </c>
      <c r="M342" s="22">
        <f>tblAnalysis[[#This Row],[Quantity]]*(tblAnalysis[[#This Row],[Unit Price]]-tblAnalysis[[#This Row],[Unit Cost]])</f>
        <v>130</v>
      </c>
    </row>
    <row r="343" spans="1:13">
      <c r="A343" t="s">
        <v>397</v>
      </c>
      <c r="B343" s="1">
        <v>45865</v>
      </c>
      <c r="C343" t="s">
        <v>33</v>
      </c>
      <c r="D343" t="s">
        <v>5</v>
      </c>
      <c r="E343">
        <v>5</v>
      </c>
      <c r="F343" t="str">
        <f>_xlfn.XLOOKUP(tblAnalysis[[#This Row],[Product ID]], tblProducts[Product ID], tblProducts[Product Name])</f>
        <v>Headset</v>
      </c>
      <c r="G343" t="str">
        <f>_xlfn.XLOOKUP(tblAnalysis[[#This Row],[Product ID]], tblProducts[Product ID], tblProducts[Category])</f>
        <v>Electronics</v>
      </c>
      <c r="H343" s="22">
        <f>_xlfn.XLOOKUP(tblAnalysis[[#This Row],[Product ID]], tblProducts[Product ID], tblProducts[Unit Price])</f>
        <v>75</v>
      </c>
      <c r="I343" s="22">
        <f>_xlfn.XLOOKUP(tblAnalysis[[#This Row],[Product ID]], tblProducts[Product ID], tblProducts[Unit Cost])</f>
        <v>45</v>
      </c>
      <c r="J343" t="str">
        <f>_xlfn.XLOOKUP(tblAnalysis[[#This Row],[Rep ID]], tblReps[Rep ID], tblReps[Sales Rep])</f>
        <v>John</v>
      </c>
      <c r="K343" t="str">
        <f>_xlfn.XLOOKUP(tblAnalysis[[#This Row],[Rep ID]], tblReps[Rep ID], tblReps[Region])</f>
        <v>New York</v>
      </c>
      <c r="L343" s="22">
        <f>tblAnalysis[[#This Row],[Quantity]]*tblAnalysis[[#This Row],[Unit Price]]</f>
        <v>375</v>
      </c>
      <c r="M343" s="22">
        <f>tblAnalysis[[#This Row],[Quantity]]*(tblAnalysis[[#This Row],[Unit Price]]-tblAnalysis[[#This Row],[Unit Cost]])</f>
        <v>150</v>
      </c>
    </row>
    <row r="344" spans="1:13">
      <c r="A344" t="s">
        <v>398</v>
      </c>
      <c r="B344" s="1">
        <v>45870</v>
      </c>
      <c r="C344" t="s">
        <v>41</v>
      </c>
      <c r="D344" t="s">
        <v>19</v>
      </c>
      <c r="E344">
        <v>3</v>
      </c>
      <c r="F344" t="str">
        <f>_xlfn.XLOOKUP(tblAnalysis[[#This Row],[Product ID]], tblProducts[Product ID], tblProducts[Product Name])</f>
        <v>Fan</v>
      </c>
      <c r="G344" t="str">
        <f>_xlfn.XLOOKUP(tblAnalysis[[#This Row],[Product ID]], tblProducts[Product ID], tblProducts[Category])</f>
        <v>Home &amp; Living</v>
      </c>
      <c r="H344" s="22">
        <f>_xlfn.XLOOKUP(tblAnalysis[[#This Row],[Product ID]], tblProducts[Product ID], tblProducts[Unit Price])</f>
        <v>45</v>
      </c>
      <c r="I344" s="22">
        <f>_xlfn.XLOOKUP(tblAnalysis[[#This Row],[Product ID]], tblProducts[Product ID], tblProducts[Unit Cost])</f>
        <v>25</v>
      </c>
      <c r="J344" t="str">
        <f>_xlfn.XLOOKUP(tblAnalysis[[#This Row],[Rep ID]], tblReps[Rep ID], tblReps[Sales Rep])</f>
        <v>Sarah</v>
      </c>
      <c r="K344" t="str">
        <f>_xlfn.XLOOKUP(tblAnalysis[[#This Row],[Rep ID]], tblReps[Rep ID], tblReps[Region])</f>
        <v>Chicago</v>
      </c>
      <c r="L344" s="22">
        <f>tblAnalysis[[#This Row],[Quantity]]*tblAnalysis[[#This Row],[Unit Price]]</f>
        <v>135</v>
      </c>
      <c r="M344" s="22">
        <f>tblAnalysis[[#This Row],[Quantity]]*(tblAnalysis[[#This Row],[Unit Price]]-tblAnalysis[[#This Row],[Unit Cost]])</f>
        <v>60</v>
      </c>
    </row>
    <row r="345" spans="1:13">
      <c r="A345" t="s">
        <v>399</v>
      </c>
      <c r="B345" s="1">
        <v>45871</v>
      </c>
      <c r="C345" t="s">
        <v>45</v>
      </c>
      <c r="D345" t="s">
        <v>21</v>
      </c>
      <c r="E345">
        <v>9</v>
      </c>
      <c r="F345" t="str">
        <f>_xlfn.XLOOKUP(tblAnalysis[[#This Row],[Product ID]], tblProducts[Product ID], tblProducts[Product Name])</f>
        <v>T-Shirt</v>
      </c>
      <c r="G345" t="str">
        <f>_xlfn.XLOOKUP(tblAnalysis[[#This Row],[Product ID]], tblProducts[Product ID], tblProducts[Category])</f>
        <v>Fashion</v>
      </c>
      <c r="H345" s="22">
        <f>_xlfn.XLOOKUP(tblAnalysis[[#This Row],[Product ID]], tblProducts[Product ID], tblProducts[Unit Price])</f>
        <v>20</v>
      </c>
      <c r="I345" s="22">
        <f>_xlfn.XLOOKUP(tblAnalysis[[#This Row],[Product ID]], tblProducts[Product ID], tblProducts[Unit Cost])</f>
        <v>8</v>
      </c>
      <c r="J345" t="str">
        <f>_xlfn.XLOOKUP(tblAnalysis[[#This Row],[Rep ID]], tblReps[Rep ID], tblReps[Sales Rep])</f>
        <v>David</v>
      </c>
      <c r="K345" t="str">
        <f>_xlfn.XLOOKUP(tblAnalysis[[#This Row],[Rep ID]], tblReps[Rep ID], tblReps[Region])</f>
        <v>Houston</v>
      </c>
      <c r="L345" s="22">
        <f>tblAnalysis[[#This Row],[Quantity]]*tblAnalysis[[#This Row],[Unit Price]]</f>
        <v>180</v>
      </c>
      <c r="M345" s="22">
        <f>tblAnalysis[[#This Row],[Quantity]]*(tblAnalysis[[#This Row],[Unit Price]]-tblAnalysis[[#This Row],[Unit Cost]])</f>
        <v>108</v>
      </c>
    </row>
    <row r="346" spans="1:13">
      <c r="A346" t="s">
        <v>400</v>
      </c>
      <c r="B346" s="1">
        <v>45872</v>
      </c>
      <c r="C346" t="s">
        <v>49</v>
      </c>
      <c r="D346" t="s">
        <v>14</v>
      </c>
      <c r="E346">
        <v>2</v>
      </c>
      <c r="F346" t="str">
        <f>_xlfn.XLOOKUP(tblAnalysis[[#This Row],[Product ID]], tblProducts[Product ID], tblProducts[Product Name])</f>
        <v>Blender</v>
      </c>
      <c r="G346" t="str">
        <f>_xlfn.XLOOKUP(tblAnalysis[[#This Row],[Product ID]], tblProducts[Product ID], tblProducts[Category])</f>
        <v>Home &amp; Living</v>
      </c>
      <c r="H346" s="22">
        <f>_xlfn.XLOOKUP(tblAnalysis[[#This Row],[Product ID]], tblProducts[Product ID], tblProducts[Unit Price])</f>
        <v>50</v>
      </c>
      <c r="I346" s="22">
        <f>_xlfn.XLOOKUP(tblAnalysis[[#This Row],[Product ID]], tblProducts[Product ID], tblProducts[Unit Cost])</f>
        <v>30</v>
      </c>
      <c r="J346" t="str">
        <f>_xlfn.XLOOKUP(tblAnalysis[[#This Row],[Rep ID]], tblReps[Rep ID], tblReps[Sales Rep])</f>
        <v>Emma</v>
      </c>
      <c r="K346" t="str">
        <f>_xlfn.XLOOKUP(tblAnalysis[[#This Row],[Rep ID]], tblReps[Rep ID], tblReps[Region])</f>
        <v>Miami</v>
      </c>
      <c r="L346" s="22">
        <f>tblAnalysis[[#This Row],[Quantity]]*tblAnalysis[[#This Row],[Unit Price]]</f>
        <v>100</v>
      </c>
      <c r="M346" s="22">
        <f>tblAnalysis[[#This Row],[Quantity]]*(tblAnalysis[[#This Row],[Unit Price]]-tblAnalysis[[#This Row],[Unit Cost]])</f>
        <v>40</v>
      </c>
    </row>
    <row r="347" spans="1:13">
      <c r="A347" t="s">
        <v>401</v>
      </c>
      <c r="B347" s="1">
        <v>45872</v>
      </c>
      <c r="C347" t="s">
        <v>37</v>
      </c>
      <c r="D347" t="s">
        <v>5</v>
      </c>
      <c r="E347">
        <v>10</v>
      </c>
      <c r="F347" t="str">
        <f>_xlfn.XLOOKUP(tblAnalysis[[#This Row],[Product ID]], tblProducts[Product ID], tblProducts[Product Name])</f>
        <v>Headset</v>
      </c>
      <c r="G347" t="str">
        <f>_xlfn.XLOOKUP(tblAnalysis[[#This Row],[Product ID]], tblProducts[Product ID], tblProducts[Category])</f>
        <v>Electronics</v>
      </c>
      <c r="H347" s="22">
        <f>_xlfn.XLOOKUP(tblAnalysis[[#This Row],[Product ID]], tblProducts[Product ID], tblProducts[Unit Price])</f>
        <v>75</v>
      </c>
      <c r="I347" s="22">
        <f>_xlfn.XLOOKUP(tblAnalysis[[#This Row],[Product ID]], tblProducts[Product ID], tblProducts[Unit Cost])</f>
        <v>45</v>
      </c>
      <c r="J347" t="str">
        <f>_xlfn.XLOOKUP(tblAnalysis[[#This Row],[Rep ID]], tblReps[Rep ID], tblReps[Sales Rep])</f>
        <v>Mike</v>
      </c>
      <c r="K347" t="str">
        <f>_xlfn.XLOOKUP(tblAnalysis[[#This Row],[Rep ID]], tblReps[Rep ID], tblReps[Region])</f>
        <v>Los Angeles</v>
      </c>
      <c r="L347" s="22">
        <f>tblAnalysis[[#This Row],[Quantity]]*tblAnalysis[[#This Row],[Unit Price]]</f>
        <v>750</v>
      </c>
      <c r="M347" s="22">
        <f>tblAnalysis[[#This Row],[Quantity]]*(tblAnalysis[[#This Row],[Unit Price]]-tblAnalysis[[#This Row],[Unit Cost]])</f>
        <v>300</v>
      </c>
    </row>
    <row r="348" spans="1:13">
      <c r="A348" t="s">
        <v>402</v>
      </c>
      <c r="B348" s="1">
        <v>45872</v>
      </c>
      <c r="C348" t="s">
        <v>37</v>
      </c>
      <c r="D348" t="s">
        <v>17</v>
      </c>
      <c r="E348">
        <v>3</v>
      </c>
      <c r="F348" t="str">
        <f>_xlfn.XLOOKUP(tblAnalysis[[#This Row],[Product ID]], tblProducts[Product ID], tblProducts[Product Name])</f>
        <v>Iron</v>
      </c>
      <c r="G348" t="str">
        <f>_xlfn.XLOOKUP(tblAnalysis[[#This Row],[Product ID]], tblProducts[Product ID], tblProducts[Category])</f>
        <v>Home &amp; Living</v>
      </c>
      <c r="H348" s="22">
        <f>_xlfn.XLOOKUP(tblAnalysis[[#This Row],[Product ID]], tblProducts[Product ID], tblProducts[Unit Price])</f>
        <v>35</v>
      </c>
      <c r="I348" s="22">
        <f>_xlfn.XLOOKUP(tblAnalysis[[#This Row],[Product ID]], tblProducts[Product ID], tblProducts[Unit Cost])</f>
        <v>20</v>
      </c>
      <c r="J348" t="str">
        <f>_xlfn.XLOOKUP(tblAnalysis[[#This Row],[Rep ID]], tblReps[Rep ID], tblReps[Sales Rep])</f>
        <v>Mike</v>
      </c>
      <c r="K348" t="str">
        <f>_xlfn.XLOOKUP(tblAnalysis[[#This Row],[Rep ID]], tblReps[Rep ID], tblReps[Region])</f>
        <v>Los Angeles</v>
      </c>
      <c r="L348" s="22">
        <f>tblAnalysis[[#This Row],[Quantity]]*tblAnalysis[[#This Row],[Unit Price]]</f>
        <v>105</v>
      </c>
      <c r="M348" s="22">
        <f>tblAnalysis[[#This Row],[Quantity]]*(tblAnalysis[[#This Row],[Unit Price]]-tblAnalysis[[#This Row],[Unit Cost]])</f>
        <v>45</v>
      </c>
    </row>
    <row r="349" spans="1:13">
      <c r="A349" t="s">
        <v>403</v>
      </c>
      <c r="B349" s="1">
        <v>45872</v>
      </c>
      <c r="C349" t="s">
        <v>41</v>
      </c>
      <c r="D349" t="s">
        <v>26</v>
      </c>
      <c r="E349">
        <v>10</v>
      </c>
      <c r="F349" t="str">
        <f>_xlfn.XLOOKUP(tblAnalysis[[#This Row],[Product ID]], tblProducts[Product ID], tblProducts[Product Name])</f>
        <v>Shoes</v>
      </c>
      <c r="G349" t="str">
        <f>_xlfn.XLOOKUP(tblAnalysis[[#This Row],[Product ID]], tblProducts[Product ID], tblProducts[Category])</f>
        <v>Fashion</v>
      </c>
      <c r="H349" s="22">
        <f>_xlfn.XLOOKUP(tblAnalysis[[#This Row],[Product ID]], tblProducts[Product ID], tblProducts[Unit Price])</f>
        <v>75</v>
      </c>
      <c r="I349" s="22">
        <f>_xlfn.XLOOKUP(tblAnalysis[[#This Row],[Product ID]], tblProducts[Product ID], tblProducts[Unit Cost])</f>
        <v>40</v>
      </c>
      <c r="J349" t="str">
        <f>_xlfn.XLOOKUP(tblAnalysis[[#This Row],[Rep ID]], tblReps[Rep ID], tblReps[Sales Rep])</f>
        <v>Sarah</v>
      </c>
      <c r="K349" t="str">
        <f>_xlfn.XLOOKUP(tblAnalysis[[#This Row],[Rep ID]], tblReps[Rep ID], tblReps[Region])</f>
        <v>Chicago</v>
      </c>
      <c r="L349" s="22">
        <f>tblAnalysis[[#This Row],[Quantity]]*tblAnalysis[[#This Row],[Unit Price]]</f>
        <v>750</v>
      </c>
      <c r="M349" s="22">
        <f>tblAnalysis[[#This Row],[Quantity]]*(tblAnalysis[[#This Row],[Unit Price]]-tblAnalysis[[#This Row],[Unit Cost]])</f>
        <v>350</v>
      </c>
    </row>
    <row r="350" spans="1:13">
      <c r="A350" t="s">
        <v>404</v>
      </c>
      <c r="B350" s="1">
        <v>45872</v>
      </c>
      <c r="C350" t="s">
        <v>45</v>
      </c>
      <c r="D350" t="s">
        <v>5</v>
      </c>
      <c r="E350">
        <v>8</v>
      </c>
      <c r="F350" t="str">
        <f>_xlfn.XLOOKUP(tblAnalysis[[#This Row],[Product ID]], tblProducts[Product ID], tblProducts[Product Name])</f>
        <v>Headset</v>
      </c>
      <c r="G350" t="str">
        <f>_xlfn.XLOOKUP(tblAnalysis[[#This Row],[Product ID]], tblProducts[Product ID], tblProducts[Category])</f>
        <v>Electronics</v>
      </c>
      <c r="H350" s="22">
        <f>_xlfn.XLOOKUP(tblAnalysis[[#This Row],[Product ID]], tblProducts[Product ID], tblProducts[Unit Price])</f>
        <v>75</v>
      </c>
      <c r="I350" s="22">
        <f>_xlfn.XLOOKUP(tblAnalysis[[#This Row],[Product ID]], tblProducts[Product ID], tblProducts[Unit Cost])</f>
        <v>45</v>
      </c>
      <c r="J350" t="str">
        <f>_xlfn.XLOOKUP(tblAnalysis[[#This Row],[Rep ID]], tblReps[Rep ID], tblReps[Sales Rep])</f>
        <v>David</v>
      </c>
      <c r="K350" t="str">
        <f>_xlfn.XLOOKUP(tblAnalysis[[#This Row],[Rep ID]], tblReps[Rep ID], tblReps[Region])</f>
        <v>Houston</v>
      </c>
      <c r="L350" s="22">
        <f>tblAnalysis[[#This Row],[Quantity]]*tblAnalysis[[#This Row],[Unit Price]]</f>
        <v>600</v>
      </c>
      <c r="M350" s="22">
        <f>tblAnalysis[[#This Row],[Quantity]]*(tblAnalysis[[#This Row],[Unit Price]]-tblAnalysis[[#This Row],[Unit Cost]])</f>
        <v>240</v>
      </c>
    </row>
    <row r="351" spans="1:13">
      <c r="A351" t="s">
        <v>405</v>
      </c>
      <c r="B351" s="1">
        <v>45873</v>
      </c>
      <c r="C351" t="s">
        <v>41</v>
      </c>
      <c r="D351" t="s">
        <v>5</v>
      </c>
      <c r="E351">
        <v>5</v>
      </c>
      <c r="F351" t="str">
        <f>_xlfn.XLOOKUP(tblAnalysis[[#This Row],[Product ID]], tblProducts[Product ID], tblProducts[Product Name])</f>
        <v>Headset</v>
      </c>
      <c r="G351" t="str">
        <f>_xlfn.XLOOKUP(tblAnalysis[[#This Row],[Product ID]], tblProducts[Product ID], tblProducts[Category])</f>
        <v>Electronics</v>
      </c>
      <c r="H351" s="22">
        <f>_xlfn.XLOOKUP(tblAnalysis[[#This Row],[Product ID]], tblProducts[Product ID], tblProducts[Unit Price])</f>
        <v>75</v>
      </c>
      <c r="I351" s="22">
        <f>_xlfn.XLOOKUP(tblAnalysis[[#This Row],[Product ID]], tblProducts[Product ID], tblProducts[Unit Cost])</f>
        <v>45</v>
      </c>
      <c r="J351" t="str">
        <f>_xlfn.XLOOKUP(tblAnalysis[[#This Row],[Rep ID]], tblReps[Rep ID], tblReps[Sales Rep])</f>
        <v>Sarah</v>
      </c>
      <c r="K351" t="str">
        <f>_xlfn.XLOOKUP(tblAnalysis[[#This Row],[Rep ID]], tblReps[Rep ID], tblReps[Region])</f>
        <v>Chicago</v>
      </c>
      <c r="L351" s="22">
        <f>tblAnalysis[[#This Row],[Quantity]]*tblAnalysis[[#This Row],[Unit Price]]</f>
        <v>375</v>
      </c>
      <c r="M351" s="22">
        <f>tblAnalysis[[#This Row],[Quantity]]*(tblAnalysis[[#This Row],[Unit Price]]-tblAnalysis[[#This Row],[Unit Cost]])</f>
        <v>150</v>
      </c>
    </row>
    <row r="352" spans="1:13">
      <c r="A352" t="s">
        <v>406</v>
      </c>
      <c r="B352" s="1">
        <v>45874</v>
      </c>
      <c r="C352" t="s">
        <v>49</v>
      </c>
      <c r="D352" t="s">
        <v>12</v>
      </c>
      <c r="E352">
        <v>9</v>
      </c>
      <c r="F352" t="str">
        <f>_xlfn.XLOOKUP(tblAnalysis[[#This Row],[Product ID]], tblProducts[Product ID], tblProducts[Product Name])</f>
        <v>Webcam</v>
      </c>
      <c r="G352" t="str">
        <f>_xlfn.XLOOKUP(tblAnalysis[[#This Row],[Product ID]], tblProducts[Product ID], tblProducts[Category])</f>
        <v>Electronics</v>
      </c>
      <c r="H352" s="22">
        <f>_xlfn.XLOOKUP(tblAnalysis[[#This Row],[Product ID]], tblProducts[Product ID], tblProducts[Unit Price])</f>
        <v>60</v>
      </c>
      <c r="I352" s="22">
        <f>_xlfn.XLOOKUP(tblAnalysis[[#This Row],[Product ID]], tblProducts[Product ID], tblProducts[Unit Cost])</f>
        <v>35</v>
      </c>
      <c r="J352" t="str">
        <f>_xlfn.XLOOKUP(tblAnalysis[[#This Row],[Rep ID]], tblReps[Rep ID], tblReps[Sales Rep])</f>
        <v>Emma</v>
      </c>
      <c r="K352" t="str">
        <f>_xlfn.XLOOKUP(tblAnalysis[[#This Row],[Rep ID]], tblReps[Rep ID], tblReps[Region])</f>
        <v>Miami</v>
      </c>
      <c r="L352" s="22">
        <f>tblAnalysis[[#This Row],[Quantity]]*tblAnalysis[[#This Row],[Unit Price]]</f>
        <v>540</v>
      </c>
      <c r="M352" s="22">
        <f>tblAnalysis[[#This Row],[Quantity]]*(tblAnalysis[[#This Row],[Unit Price]]-tblAnalysis[[#This Row],[Unit Cost]])</f>
        <v>225</v>
      </c>
    </row>
    <row r="353" spans="1:13">
      <c r="A353" t="s">
        <v>407</v>
      </c>
      <c r="B353" s="1">
        <v>45874</v>
      </c>
      <c r="C353" t="s">
        <v>45</v>
      </c>
      <c r="D353" t="s">
        <v>19</v>
      </c>
      <c r="E353">
        <v>5</v>
      </c>
      <c r="F353" t="str">
        <f>_xlfn.XLOOKUP(tblAnalysis[[#This Row],[Product ID]], tblProducts[Product ID], tblProducts[Product Name])</f>
        <v>Fan</v>
      </c>
      <c r="G353" t="str">
        <f>_xlfn.XLOOKUP(tblAnalysis[[#This Row],[Product ID]], tblProducts[Product ID], tblProducts[Category])</f>
        <v>Home &amp; Living</v>
      </c>
      <c r="H353" s="22">
        <f>_xlfn.XLOOKUP(tblAnalysis[[#This Row],[Product ID]], tblProducts[Product ID], tblProducts[Unit Price])</f>
        <v>45</v>
      </c>
      <c r="I353" s="22">
        <f>_xlfn.XLOOKUP(tblAnalysis[[#This Row],[Product ID]], tblProducts[Product ID], tblProducts[Unit Cost])</f>
        <v>25</v>
      </c>
      <c r="J353" t="str">
        <f>_xlfn.XLOOKUP(tblAnalysis[[#This Row],[Rep ID]], tblReps[Rep ID], tblReps[Sales Rep])</f>
        <v>David</v>
      </c>
      <c r="K353" t="str">
        <f>_xlfn.XLOOKUP(tblAnalysis[[#This Row],[Rep ID]], tblReps[Rep ID], tblReps[Region])</f>
        <v>Houston</v>
      </c>
      <c r="L353" s="22">
        <f>tblAnalysis[[#This Row],[Quantity]]*tblAnalysis[[#This Row],[Unit Price]]</f>
        <v>225</v>
      </c>
      <c r="M353" s="22">
        <f>tblAnalysis[[#This Row],[Quantity]]*(tblAnalysis[[#This Row],[Unit Price]]-tblAnalysis[[#This Row],[Unit Cost]])</f>
        <v>100</v>
      </c>
    </row>
    <row r="354" spans="1:13">
      <c r="A354" t="s">
        <v>408</v>
      </c>
      <c r="B354" s="1">
        <v>45874</v>
      </c>
      <c r="C354" t="s">
        <v>49</v>
      </c>
      <c r="D354" t="s">
        <v>8</v>
      </c>
      <c r="E354">
        <v>4</v>
      </c>
      <c r="F354" t="str">
        <f>_xlfn.XLOOKUP(tblAnalysis[[#This Row],[Product ID]], tblProducts[Product ID], tblProducts[Product Name])</f>
        <v>Mouse</v>
      </c>
      <c r="G354" t="str">
        <f>_xlfn.XLOOKUP(tblAnalysis[[#This Row],[Product ID]], tblProducts[Product ID], tblProducts[Category])</f>
        <v>Electronics</v>
      </c>
      <c r="H354" s="22">
        <f>_xlfn.XLOOKUP(tblAnalysis[[#This Row],[Product ID]], tblProducts[Product ID], tblProducts[Unit Price])</f>
        <v>25</v>
      </c>
      <c r="I354" s="22">
        <f>_xlfn.XLOOKUP(tblAnalysis[[#This Row],[Product ID]], tblProducts[Product ID], tblProducts[Unit Cost])</f>
        <v>12</v>
      </c>
      <c r="J354" t="str">
        <f>_xlfn.XLOOKUP(tblAnalysis[[#This Row],[Rep ID]], tblReps[Rep ID], tblReps[Sales Rep])</f>
        <v>Emma</v>
      </c>
      <c r="K354" t="str">
        <f>_xlfn.XLOOKUP(tblAnalysis[[#This Row],[Rep ID]], tblReps[Rep ID], tblReps[Region])</f>
        <v>Miami</v>
      </c>
      <c r="L354" s="22">
        <f>tblAnalysis[[#This Row],[Quantity]]*tblAnalysis[[#This Row],[Unit Price]]</f>
        <v>100</v>
      </c>
      <c r="M354" s="22">
        <f>tblAnalysis[[#This Row],[Quantity]]*(tblAnalysis[[#This Row],[Unit Price]]-tblAnalysis[[#This Row],[Unit Cost]])</f>
        <v>52</v>
      </c>
    </row>
    <row r="355" spans="1:13">
      <c r="A355" t="s">
        <v>409</v>
      </c>
      <c r="B355" s="1">
        <v>45874</v>
      </c>
      <c r="C355" t="s">
        <v>49</v>
      </c>
      <c r="D355" t="s">
        <v>26</v>
      </c>
      <c r="E355">
        <v>7</v>
      </c>
      <c r="F355" t="str">
        <f>_xlfn.XLOOKUP(tblAnalysis[[#This Row],[Product ID]], tblProducts[Product ID], tblProducts[Product Name])</f>
        <v>Shoes</v>
      </c>
      <c r="G355" t="str">
        <f>_xlfn.XLOOKUP(tblAnalysis[[#This Row],[Product ID]], tblProducts[Product ID], tblProducts[Category])</f>
        <v>Fashion</v>
      </c>
      <c r="H355" s="22">
        <f>_xlfn.XLOOKUP(tblAnalysis[[#This Row],[Product ID]], tblProducts[Product ID], tblProducts[Unit Price])</f>
        <v>75</v>
      </c>
      <c r="I355" s="22">
        <f>_xlfn.XLOOKUP(tblAnalysis[[#This Row],[Product ID]], tblProducts[Product ID], tblProducts[Unit Cost])</f>
        <v>40</v>
      </c>
      <c r="J355" t="str">
        <f>_xlfn.XLOOKUP(tblAnalysis[[#This Row],[Rep ID]], tblReps[Rep ID], tblReps[Sales Rep])</f>
        <v>Emma</v>
      </c>
      <c r="K355" t="str">
        <f>_xlfn.XLOOKUP(tblAnalysis[[#This Row],[Rep ID]], tblReps[Rep ID], tblReps[Region])</f>
        <v>Miami</v>
      </c>
      <c r="L355" s="22">
        <f>tblAnalysis[[#This Row],[Quantity]]*tblAnalysis[[#This Row],[Unit Price]]</f>
        <v>525</v>
      </c>
      <c r="M355" s="22">
        <f>tblAnalysis[[#This Row],[Quantity]]*(tblAnalysis[[#This Row],[Unit Price]]-tblAnalysis[[#This Row],[Unit Cost]])</f>
        <v>245</v>
      </c>
    </row>
    <row r="356" spans="1:13">
      <c r="A356" t="s">
        <v>410</v>
      </c>
      <c r="B356" s="1">
        <v>45875</v>
      </c>
      <c r="C356" t="s">
        <v>41</v>
      </c>
      <c r="D356" t="s">
        <v>10</v>
      </c>
      <c r="E356">
        <v>5</v>
      </c>
      <c r="F356" t="str">
        <f>_xlfn.XLOOKUP(tblAnalysis[[#This Row],[Product ID]], tblProducts[Product ID], tblProducts[Product Name])</f>
        <v>Keyboard</v>
      </c>
      <c r="G356" t="str">
        <f>_xlfn.XLOOKUP(tblAnalysis[[#This Row],[Product ID]], tblProducts[Product ID], tblProducts[Category])</f>
        <v>Electronics</v>
      </c>
      <c r="H356" s="22">
        <f>_xlfn.XLOOKUP(tblAnalysis[[#This Row],[Product ID]], tblProducts[Product ID], tblProducts[Unit Price])</f>
        <v>40</v>
      </c>
      <c r="I356" s="22">
        <f>_xlfn.XLOOKUP(tblAnalysis[[#This Row],[Product ID]], tblProducts[Product ID], tblProducts[Unit Cost])</f>
        <v>22</v>
      </c>
      <c r="J356" t="str">
        <f>_xlfn.XLOOKUP(tblAnalysis[[#This Row],[Rep ID]], tblReps[Rep ID], tblReps[Sales Rep])</f>
        <v>Sarah</v>
      </c>
      <c r="K356" t="str">
        <f>_xlfn.XLOOKUP(tblAnalysis[[#This Row],[Rep ID]], tblReps[Rep ID], tblReps[Region])</f>
        <v>Chicago</v>
      </c>
      <c r="L356" s="22">
        <f>tblAnalysis[[#This Row],[Quantity]]*tblAnalysis[[#This Row],[Unit Price]]</f>
        <v>200</v>
      </c>
      <c r="M356" s="22">
        <f>tblAnalysis[[#This Row],[Quantity]]*(tblAnalysis[[#This Row],[Unit Price]]-tblAnalysis[[#This Row],[Unit Cost]])</f>
        <v>90</v>
      </c>
    </row>
    <row r="357" spans="1:13">
      <c r="A357" t="s">
        <v>411</v>
      </c>
      <c r="B357" s="1">
        <v>45875</v>
      </c>
      <c r="C357" t="s">
        <v>37</v>
      </c>
      <c r="D357" t="s">
        <v>19</v>
      </c>
      <c r="E357">
        <v>5</v>
      </c>
      <c r="F357" t="str">
        <f>_xlfn.XLOOKUP(tblAnalysis[[#This Row],[Product ID]], tblProducts[Product ID], tblProducts[Product Name])</f>
        <v>Fan</v>
      </c>
      <c r="G357" t="str">
        <f>_xlfn.XLOOKUP(tblAnalysis[[#This Row],[Product ID]], tblProducts[Product ID], tblProducts[Category])</f>
        <v>Home &amp; Living</v>
      </c>
      <c r="H357" s="22">
        <f>_xlfn.XLOOKUP(tblAnalysis[[#This Row],[Product ID]], tblProducts[Product ID], tblProducts[Unit Price])</f>
        <v>45</v>
      </c>
      <c r="I357" s="22">
        <f>_xlfn.XLOOKUP(tblAnalysis[[#This Row],[Product ID]], tblProducts[Product ID], tblProducts[Unit Cost])</f>
        <v>25</v>
      </c>
      <c r="J357" t="str">
        <f>_xlfn.XLOOKUP(tblAnalysis[[#This Row],[Rep ID]], tblReps[Rep ID], tblReps[Sales Rep])</f>
        <v>Mike</v>
      </c>
      <c r="K357" t="str">
        <f>_xlfn.XLOOKUP(tblAnalysis[[#This Row],[Rep ID]], tblReps[Rep ID], tblReps[Region])</f>
        <v>Los Angeles</v>
      </c>
      <c r="L357" s="22">
        <f>tblAnalysis[[#This Row],[Quantity]]*tblAnalysis[[#This Row],[Unit Price]]</f>
        <v>225</v>
      </c>
      <c r="M357" s="22">
        <f>tblAnalysis[[#This Row],[Quantity]]*(tblAnalysis[[#This Row],[Unit Price]]-tblAnalysis[[#This Row],[Unit Cost]])</f>
        <v>100</v>
      </c>
    </row>
    <row r="358" spans="1:13">
      <c r="A358" t="s">
        <v>412</v>
      </c>
      <c r="B358" s="1">
        <v>45875</v>
      </c>
      <c r="C358" t="s">
        <v>37</v>
      </c>
      <c r="D358" t="s">
        <v>24</v>
      </c>
      <c r="E358">
        <v>10</v>
      </c>
      <c r="F358" t="str">
        <f>_xlfn.XLOOKUP(tblAnalysis[[#This Row],[Product ID]], tblProducts[Product ID], tblProducts[Product Name])</f>
        <v>Pants</v>
      </c>
      <c r="G358" t="str">
        <f>_xlfn.XLOOKUP(tblAnalysis[[#This Row],[Product ID]], tblProducts[Product ID], tblProducts[Category])</f>
        <v>Fashion</v>
      </c>
      <c r="H358" s="22">
        <f>_xlfn.XLOOKUP(tblAnalysis[[#This Row],[Product ID]], tblProducts[Product ID], tblProducts[Unit Price])</f>
        <v>40</v>
      </c>
      <c r="I358" s="22">
        <f>_xlfn.XLOOKUP(tblAnalysis[[#This Row],[Product ID]], tblProducts[Product ID], tblProducts[Unit Cost])</f>
        <v>18</v>
      </c>
      <c r="J358" t="str">
        <f>_xlfn.XLOOKUP(tblAnalysis[[#This Row],[Rep ID]], tblReps[Rep ID], tblReps[Sales Rep])</f>
        <v>Mike</v>
      </c>
      <c r="K358" t="str">
        <f>_xlfn.XLOOKUP(tblAnalysis[[#This Row],[Rep ID]], tblReps[Rep ID], tblReps[Region])</f>
        <v>Los Angeles</v>
      </c>
      <c r="L358" s="22">
        <f>tblAnalysis[[#This Row],[Quantity]]*tblAnalysis[[#This Row],[Unit Price]]</f>
        <v>400</v>
      </c>
      <c r="M358" s="22">
        <f>tblAnalysis[[#This Row],[Quantity]]*(tblAnalysis[[#This Row],[Unit Price]]-tblAnalysis[[#This Row],[Unit Cost]])</f>
        <v>220</v>
      </c>
    </row>
    <row r="359" spans="1:13">
      <c r="A359" t="s">
        <v>413</v>
      </c>
      <c r="B359" s="1">
        <v>45875</v>
      </c>
      <c r="C359" t="s">
        <v>33</v>
      </c>
      <c r="D359" t="s">
        <v>24</v>
      </c>
      <c r="E359">
        <v>1</v>
      </c>
      <c r="F359" t="str">
        <f>_xlfn.XLOOKUP(tblAnalysis[[#This Row],[Product ID]], tblProducts[Product ID], tblProducts[Product Name])</f>
        <v>Pants</v>
      </c>
      <c r="G359" t="str">
        <f>_xlfn.XLOOKUP(tblAnalysis[[#This Row],[Product ID]], tblProducts[Product ID], tblProducts[Category])</f>
        <v>Fashion</v>
      </c>
      <c r="H359" s="22">
        <f>_xlfn.XLOOKUP(tblAnalysis[[#This Row],[Product ID]], tblProducts[Product ID], tblProducts[Unit Price])</f>
        <v>40</v>
      </c>
      <c r="I359" s="22">
        <f>_xlfn.XLOOKUP(tblAnalysis[[#This Row],[Product ID]], tblProducts[Product ID], tblProducts[Unit Cost])</f>
        <v>18</v>
      </c>
      <c r="J359" t="str">
        <f>_xlfn.XLOOKUP(tblAnalysis[[#This Row],[Rep ID]], tblReps[Rep ID], tblReps[Sales Rep])</f>
        <v>John</v>
      </c>
      <c r="K359" t="str">
        <f>_xlfn.XLOOKUP(tblAnalysis[[#This Row],[Rep ID]], tblReps[Rep ID], tblReps[Region])</f>
        <v>New York</v>
      </c>
      <c r="L359" s="22">
        <f>tblAnalysis[[#This Row],[Quantity]]*tblAnalysis[[#This Row],[Unit Price]]</f>
        <v>40</v>
      </c>
      <c r="M359" s="22">
        <f>tblAnalysis[[#This Row],[Quantity]]*(tblAnalysis[[#This Row],[Unit Price]]-tblAnalysis[[#This Row],[Unit Cost]])</f>
        <v>22</v>
      </c>
    </row>
    <row r="360" spans="1:13">
      <c r="A360" t="s">
        <v>414</v>
      </c>
      <c r="B360" s="1">
        <v>45877</v>
      </c>
      <c r="C360" t="s">
        <v>33</v>
      </c>
      <c r="D360" t="s">
        <v>26</v>
      </c>
      <c r="E360">
        <v>10</v>
      </c>
      <c r="F360" t="str">
        <f>_xlfn.XLOOKUP(tblAnalysis[[#This Row],[Product ID]], tblProducts[Product ID], tblProducts[Product Name])</f>
        <v>Shoes</v>
      </c>
      <c r="G360" t="str">
        <f>_xlfn.XLOOKUP(tblAnalysis[[#This Row],[Product ID]], tblProducts[Product ID], tblProducts[Category])</f>
        <v>Fashion</v>
      </c>
      <c r="H360" s="22">
        <f>_xlfn.XLOOKUP(tblAnalysis[[#This Row],[Product ID]], tblProducts[Product ID], tblProducts[Unit Price])</f>
        <v>75</v>
      </c>
      <c r="I360" s="22">
        <f>_xlfn.XLOOKUP(tblAnalysis[[#This Row],[Product ID]], tblProducts[Product ID], tblProducts[Unit Cost])</f>
        <v>40</v>
      </c>
      <c r="J360" t="str">
        <f>_xlfn.XLOOKUP(tblAnalysis[[#This Row],[Rep ID]], tblReps[Rep ID], tblReps[Sales Rep])</f>
        <v>John</v>
      </c>
      <c r="K360" t="str">
        <f>_xlfn.XLOOKUP(tblAnalysis[[#This Row],[Rep ID]], tblReps[Rep ID], tblReps[Region])</f>
        <v>New York</v>
      </c>
      <c r="L360" s="22">
        <f>tblAnalysis[[#This Row],[Quantity]]*tblAnalysis[[#This Row],[Unit Price]]</f>
        <v>750</v>
      </c>
      <c r="M360" s="22">
        <f>tblAnalysis[[#This Row],[Quantity]]*(tblAnalysis[[#This Row],[Unit Price]]-tblAnalysis[[#This Row],[Unit Cost]])</f>
        <v>350</v>
      </c>
    </row>
    <row r="361" spans="1:13">
      <c r="A361" t="s">
        <v>415</v>
      </c>
      <c r="B361" s="1">
        <v>45877</v>
      </c>
      <c r="C361" t="s">
        <v>33</v>
      </c>
      <c r="D361" t="s">
        <v>24</v>
      </c>
      <c r="E361">
        <v>8</v>
      </c>
      <c r="F361" t="str">
        <f>_xlfn.XLOOKUP(tblAnalysis[[#This Row],[Product ID]], tblProducts[Product ID], tblProducts[Product Name])</f>
        <v>Pants</v>
      </c>
      <c r="G361" t="str">
        <f>_xlfn.XLOOKUP(tblAnalysis[[#This Row],[Product ID]], tblProducts[Product ID], tblProducts[Category])</f>
        <v>Fashion</v>
      </c>
      <c r="H361" s="22">
        <f>_xlfn.XLOOKUP(tblAnalysis[[#This Row],[Product ID]], tblProducts[Product ID], tblProducts[Unit Price])</f>
        <v>40</v>
      </c>
      <c r="I361" s="22">
        <f>_xlfn.XLOOKUP(tblAnalysis[[#This Row],[Product ID]], tblProducts[Product ID], tblProducts[Unit Cost])</f>
        <v>18</v>
      </c>
      <c r="J361" t="str">
        <f>_xlfn.XLOOKUP(tblAnalysis[[#This Row],[Rep ID]], tblReps[Rep ID], tblReps[Sales Rep])</f>
        <v>John</v>
      </c>
      <c r="K361" t="str">
        <f>_xlfn.XLOOKUP(tblAnalysis[[#This Row],[Rep ID]], tblReps[Rep ID], tblReps[Region])</f>
        <v>New York</v>
      </c>
      <c r="L361" s="22">
        <f>tblAnalysis[[#This Row],[Quantity]]*tblAnalysis[[#This Row],[Unit Price]]</f>
        <v>320</v>
      </c>
      <c r="M361" s="22">
        <f>tblAnalysis[[#This Row],[Quantity]]*(tblAnalysis[[#This Row],[Unit Price]]-tblAnalysis[[#This Row],[Unit Cost]])</f>
        <v>176</v>
      </c>
    </row>
    <row r="362" spans="1:13">
      <c r="A362" t="s">
        <v>416</v>
      </c>
      <c r="B362" s="1">
        <v>45877</v>
      </c>
      <c r="C362" t="s">
        <v>45</v>
      </c>
      <c r="D362" t="s">
        <v>17</v>
      </c>
      <c r="E362">
        <v>3</v>
      </c>
      <c r="F362" t="str">
        <f>_xlfn.XLOOKUP(tblAnalysis[[#This Row],[Product ID]], tblProducts[Product ID], tblProducts[Product Name])</f>
        <v>Iron</v>
      </c>
      <c r="G362" t="str">
        <f>_xlfn.XLOOKUP(tblAnalysis[[#This Row],[Product ID]], tblProducts[Product ID], tblProducts[Category])</f>
        <v>Home &amp; Living</v>
      </c>
      <c r="H362" s="22">
        <f>_xlfn.XLOOKUP(tblAnalysis[[#This Row],[Product ID]], tblProducts[Product ID], tblProducts[Unit Price])</f>
        <v>35</v>
      </c>
      <c r="I362" s="22">
        <f>_xlfn.XLOOKUP(tblAnalysis[[#This Row],[Product ID]], tblProducts[Product ID], tblProducts[Unit Cost])</f>
        <v>20</v>
      </c>
      <c r="J362" t="str">
        <f>_xlfn.XLOOKUP(tblAnalysis[[#This Row],[Rep ID]], tblReps[Rep ID], tblReps[Sales Rep])</f>
        <v>David</v>
      </c>
      <c r="K362" t="str">
        <f>_xlfn.XLOOKUP(tblAnalysis[[#This Row],[Rep ID]], tblReps[Rep ID], tblReps[Region])</f>
        <v>Houston</v>
      </c>
      <c r="L362" s="22">
        <f>tblAnalysis[[#This Row],[Quantity]]*tblAnalysis[[#This Row],[Unit Price]]</f>
        <v>105</v>
      </c>
      <c r="M362" s="22">
        <f>tblAnalysis[[#This Row],[Quantity]]*(tblAnalysis[[#This Row],[Unit Price]]-tblAnalysis[[#This Row],[Unit Cost]])</f>
        <v>45</v>
      </c>
    </row>
    <row r="363" spans="1:13">
      <c r="A363" t="s">
        <v>417</v>
      </c>
      <c r="B363" s="1">
        <v>45878</v>
      </c>
      <c r="C363" t="s">
        <v>41</v>
      </c>
      <c r="D363" t="s">
        <v>26</v>
      </c>
      <c r="E363">
        <v>1</v>
      </c>
      <c r="F363" t="str">
        <f>_xlfn.XLOOKUP(tblAnalysis[[#This Row],[Product ID]], tblProducts[Product ID], tblProducts[Product Name])</f>
        <v>Shoes</v>
      </c>
      <c r="G363" t="str">
        <f>_xlfn.XLOOKUP(tblAnalysis[[#This Row],[Product ID]], tblProducts[Product ID], tblProducts[Category])</f>
        <v>Fashion</v>
      </c>
      <c r="H363" s="22">
        <f>_xlfn.XLOOKUP(tblAnalysis[[#This Row],[Product ID]], tblProducts[Product ID], tblProducts[Unit Price])</f>
        <v>75</v>
      </c>
      <c r="I363" s="22">
        <f>_xlfn.XLOOKUP(tblAnalysis[[#This Row],[Product ID]], tblProducts[Product ID], tblProducts[Unit Cost])</f>
        <v>40</v>
      </c>
      <c r="J363" t="str">
        <f>_xlfn.XLOOKUP(tblAnalysis[[#This Row],[Rep ID]], tblReps[Rep ID], tblReps[Sales Rep])</f>
        <v>Sarah</v>
      </c>
      <c r="K363" t="str">
        <f>_xlfn.XLOOKUP(tblAnalysis[[#This Row],[Rep ID]], tblReps[Rep ID], tblReps[Region])</f>
        <v>Chicago</v>
      </c>
      <c r="L363" s="22">
        <f>tblAnalysis[[#This Row],[Quantity]]*tblAnalysis[[#This Row],[Unit Price]]</f>
        <v>75</v>
      </c>
      <c r="M363" s="22">
        <f>tblAnalysis[[#This Row],[Quantity]]*(tblAnalysis[[#This Row],[Unit Price]]-tblAnalysis[[#This Row],[Unit Cost]])</f>
        <v>35</v>
      </c>
    </row>
    <row r="364" spans="1:13">
      <c r="A364" t="s">
        <v>418</v>
      </c>
      <c r="B364" s="1">
        <v>45879</v>
      </c>
      <c r="C364" t="s">
        <v>33</v>
      </c>
      <c r="D364" t="s">
        <v>19</v>
      </c>
      <c r="E364">
        <v>2</v>
      </c>
      <c r="F364" t="str">
        <f>_xlfn.XLOOKUP(tblAnalysis[[#This Row],[Product ID]], tblProducts[Product ID], tblProducts[Product Name])</f>
        <v>Fan</v>
      </c>
      <c r="G364" t="str">
        <f>_xlfn.XLOOKUP(tblAnalysis[[#This Row],[Product ID]], tblProducts[Product ID], tblProducts[Category])</f>
        <v>Home &amp; Living</v>
      </c>
      <c r="H364" s="22">
        <f>_xlfn.XLOOKUP(tblAnalysis[[#This Row],[Product ID]], tblProducts[Product ID], tblProducts[Unit Price])</f>
        <v>45</v>
      </c>
      <c r="I364" s="22">
        <f>_xlfn.XLOOKUP(tblAnalysis[[#This Row],[Product ID]], tblProducts[Product ID], tblProducts[Unit Cost])</f>
        <v>25</v>
      </c>
      <c r="J364" t="str">
        <f>_xlfn.XLOOKUP(tblAnalysis[[#This Row],[Rep ID]], tblReps[Rep ID], tblReps[Sales Rep])</f>
        <v>John</v>
      </c>
      <c r="K364" t="str">
        <f>_xlfn.XLOOKUP(tblAnalysis[[#This Row],[Rep ID]], tblReps[Rep ID], tblReps[Region])</f>
        <v>New York</v>
      </c>
      <c r="L364" s="22">
        <f>tblAnalysis[[#This Row],[Quantity]]*tblAnalysis[[#This Row],[Unit Price]]</f>
        <v>90</v>
      </c>
      <c r="M364" s="22">
        <f>tblAnalysis[[#This Row],[Quantity]]*(tblAnalysis[[#This Row],[Unit Price]]-tblAnalysis[[#This Row],[Unit Cost]])</f>
        <v>40</v>
      </c>
    </row>
    <row r="365" spans="1:13">
      <c r="A365" t="s">
        <v>419</v>
      </c>
      <c r="B365" s="1">
        <v>45879</v>
      </c>
      <c r="C365" t="s">
        <v>41</v>
      </c>
      <c r="D365" t="s">
        <v>10</v>
      </c>
      <c r="E365">
        <v>3</v>
      </c>
      <c r="F365" t="str">
        <f>_xlfn.XLOOKUP(tblAnalysis[[#This Row],[Product ID]], tblProducts[Product ID], tblProducts[Product Name])</f>
        <v>Keyboard</v>
      </c>
      <c r="G365" t="str">
        <f>_xlfn.XLOOKUP(tblAnalysis[[#This Row],[Product ID]], tblProducts[Product ID], tblProducts[Category])</f>
        <v>Electronics</v>
      </c>
      <c r="H365" s="22">
        <f>_xlfn.XLOOKUP(tblAnalysis[[#This Row],[Product ID]], tblProducts[Product ID], tblProducts[Unit Price])</f>
        <v>40</v>
      </c>
      <c r="I365" s="22">
        <f>_xlfn.XLOOKUP(tblAnalysis[[#This Row],[Product ID]], tblProducts[Product ID], tblProducts[Unit Cost])</f>
        <v>22</v>
      </c>
      <c r="J365" t="str">
        <f>_xlfn.XLOOKUP(tblAnalysis[[#This Row],[Rep ID]], tblReps[Rep ID], tblReps[Sales Rep])</f>
        <v>Sarah</v>
      </c>
      <c r="K365" t="str">
        <f>_xlfn.XLOOKUP(tblAnalysis[[#This Row],[Rep ID]], tblReps[Rep ID], tblReps[Region])</f>
        <v>Chicago</v>
      </c>
      <c r="L365" s="22">
        <f>tblAnalysis[[#This Row],[Quantity]]*tblAnalysis[[#This Row],[Unit Price]]</f>
        <v>120</v>
      </c>
      <c r="M365" s="22">
        <f>tblAnalysis[[#This Row],[Quantity]]*(tblAnalysis[[#This Row],[Unit Price]]-tblAnalysis[[#This Row],[Unit Cost]])</f>
        <v>54</v>
      </c>
    </row>
    <row r="366" spans="1:13">
      <c r="A366" t="s">
        <v>420</v>
      </c>
      <c r="B366" s="1">
        <v>45880</v>
      </c>
      <c r="C366" t="s">
        <v>33</v>
      </c>
      <c r="D366" t="s">
        <v>5</v>
      </c>
      <c r="E366">
        <v>7</v>
      </c>
      <c r="F366" t="str">
        <f>_xlfn.XLOOKUP(tblAnalysis[[#This Row],[Product ID]], tblProducts[Product ID], tblProducts[Product Name])</f>
        <v>Headset</v>
      </c>
      <c r="G366" t="str">
        <f>_xlfn.XLOOKUP(tblAnalysis[[#This Row],[Product ID]], tblProducts[Product ID], tblProducts[Category])</f>
        <v>Electronics</v>
      </c>
      <c r="H366" s="22">
        <f>_xlfn.XLOOKUP(tblAnalysis[[#This Row],[Product ID]], tblProducts[Product ID], tblProducts[Unit Price])</f>
        <v>75</v>
      </c>
      <c r="I366" s="22">
        <f>_xlfn.XLOOKUP(tblAnalysis[[#This Row],[Product ID]], tblProducts[Product ID], tblProducts[Unit Cost])</f>
        <v>45</v>
      </c>
      <c r="J366" t="str">
        <f>_xlfn.XLOOKUP(tblAnalysis[[#This Row],[Rep ID]], tblReps[Rep ID], tblReps[Sales Rep])</f>
        <v>John</v>
      </c>
      <c r="K366" t="str">
        <f>_xlfn.XLOOKUP(tblAnalysis[[#This Row],[Rep ID]], tblReps[Rep ID], tblReps[Region])</f>
        <v>New York</v>
      </c>
      <c r="L366" s="22">
        <f>tblAnalysis[[#This Row],[Quantity]]*tblAnalysis[[#This Row],[Unit Price]]</f>
        <v>525</v>
      </c>
      <c r="M366" s="22">
        <f>tblAnalysis[[#This Row],[Quantity]]*(tblAnalysis[[#This Row],[Unit Price]]-tblAnalysis[[#This Row],[Unit Cost]])</f>
        <v>210</v>
      </c>
    </row>
    <row r="367" spans="1:13">
      <c r="A367" t="s">
        <v>421</v>
      </c>
      <c r="B367" s="1">
        <v>45880</v>
      </c>
      <c r="C367" t="s">
        <v>45</v>
      </c>
      <c r="D367" t="s">
        <v>12</v>
      </c>
      <c r="E367">
        <v>9</v>
      </c>
      <c r="F367" t="str">
        <f>_xlfn.XLOOKUP(tblAnalysis[[#This Row],[Product ID]], tblProducts[Product ID], tblProducts[Product Name])</f>
        <v>Webcam</v>
      </c>
      <c r="G367" t="str">
        <f>_xlfn.XLOOKUP(tblAnalysis[[#This Row],[Product ID]], tblProducts[Product ID], tblProducts[Category])</f>
        <v>Electronics</v>
      </c>
      <c r="H367" s="22">
        <f>_xlfn.XLOOKUP(tblAnalysis[[#This Row],[Product ID]], tblProducts[Product ID], tblProducts[Unit Price])</f>
        <v>60</v>
      </c>
      <c r="I367" s="22">
        <f>_xlfn.XLOOKUP(tblAnalysis[[#This Row],[Product ID]], tblProducts[Product ID], tblProducts[Unit Cost])</f>
        <v>35</v>
      </c>
      <c r="J367" t="str">
        <f>_xlfn.XLOOKUP(tblAnalysis[[#This Row],[Rep ID]], tblReps[Rep ID], tblReps[Sales Rep])</f>
        <v>David</v>
      </c>
      <c r="K367" t="str">
        <f>_xlfn.XLOOKUP(tblAnalysis[[#This Row],[Rep ID]], tblReps[Rep ID], tblReps[Region])</f>
        <v>Houston</v>
      </c>
      <c r="L367" s="22">
        <f>tblAnalysis[[#This Row],[Quantity]]*tblAnalysis[[#This Row],[Unit Price]]</f>
        <v>540</v>
      </c>
      <c r="M367" s="22">
        <f>tblAnalysis[[#This Row],[Quantity]]*(tblAnalysis[[#This Row],[Unit Price]]-tblAnalysis[[#This Row],[Unit Cost]])</f>
        <v>225</v>
      </c>
    </row>
    <row r="368" spans="1:13">
      <c r="A368" t="s">
        <v>422</v>
      </c>
      <c r="B368" s="1">
        <v>45880</v>
      </c>
      <c r="C368" t="s">
        <v>33</v>
      </c>
      <c r="D368" t="s">
        <v>5</v>
      </c>
      <c r="E368">
        <v>9</v>
      </c>
      <c r="F368" t="str">
        <f>_xlfn.XLOOKUP(tblAnalysis[[#This Row],[Product ID]], tblProducts[Product ID], tblProducts[Product Name])</f>
        <v>Headset</v>
      </c>
      <c r="G368" t="str">
        <f>_xlfn.XLOOKUP(tblAnalysis[[#This Row],[Product ID]], tblProducts[Product ID], tblProducts[Category])</f>
        <v>Electronics</v>
      </c>
      <c r="H368" s="22">
        <f>_xlfn.XLOOKUP(tblAnalysis[[#This Row],[Product ID]], tblProducts[Product ID], tblProducts[Unit Price])</f>
        <v>75</v>
      </c>
      <c r="I368" s="22">
        <f>_xlfn.XLOOKUP(tblAnalysis[[#This Row],[Product ID]], tblProducts[Product ID], tblProducts[Unit Cost])</f>
        <v>45</v>
      </c>
      <c r="J368" t="str">
        <f>_xlfn.XLOOKUP(tblAnalysis[[#This Row],[Rep ID]], tblReps[Rep ID], tblReps[Sales Rep])</f>
        <v>John</v>
      </c>
      <c r="K368" t="str">
        <f>_xlfn.XLOOKUP(tblAnalysis[[#This Row],[Rep ID]], tblReps[Rep ID], tblReps[Region])</f>
        <v>New York</v>
      </c>
      <c r="L368" s="22">
        <f>tblAnalysis[[#This Row],[Quantity]]*tblAnalysis[[#This Row],[Unit Price]]</f>
        <v>675</v>
      </c>
      <c r="M368" s="22">
        <f>tblAnalysis[[#This Row],[Quantity]]*(tblAnalysis[[#This Row],[Unit Price]]-tblAnalysis[[#This Row],[Unit Cost]])</f>
        <v>270</v>
      </c>
    </row>
    <row r="369" spans="1:13">
      <c r="A369" t="s">
        <v>423</v>
      </c>
      <c r="B369" s="1">
        <v>45880</v>
      </c>
      <c r="C369" t="s">
        <v>41</v>
      </c>
      <c r="D369" t="s">
        <v>17</v>
      </c>
      <c r="E369">
        <v>8</v>
      </c>
      <c r="F369" t="str">
        <f>_xlfn.XLOOKUP(tblAnalysis[[#This Row],[Product ID]], tblProducts[Product ID], tblProducts[Product Name])</f>
        <v>Iron</v>
      </c>
      <c r="G369" t="str">
        <f>_xlfn.XLOOKUP(tblAnalysis[[#This Row],[Product ID]], tblProducts[Product ID], tblProducts[Category])</f>
        <v>Home &amp; Living</v>
      </c>
      <c r="H369" s="22">
        <f>_xlfn.XLOOKUP(tblAnalysis[[#This Row],[Product ID]], tblProducts[Product ID], tblProducts[Unit Price])</f>
        <v>35</v>
      </c>
      <c r="I369" s="22">
        <f>_xlfn.XLOOKUP(tblAnalysis[[#This Row],[Product ID]], tblProducts[Product ID], tblProducts[Unit Cost])</f>
        <v>20</v>
      </c>
      <c r="J369" t="str">
        <f>_xlfn.XLOOKUP(tblAnalysis[[#This Row],[Rep ID]], tblReps[Rep ID], tblReps[Sales Rep])</f>
        <v>Sarah</v>
      </c>
      <c r="K369" t="str">
        <f>_xlfn.XLOOKUP(tblAnalysis[[#This Row],[Rep ID]], tblReps[Rep ID], tblReps[Region])</f>
        <v>Chicago</v>
      </c>
      <c r="L369" s="22">
        <f>tblAnalysis[[#This Row],[Quantity]]*tblAnalysis[[#This Row],[Unit Price]]</f>
        <v>280</v>
      </c>
      <c r="M369" s="22">
        <f>tblAnalysis[[#This Row],[Quantity]]*(tblAnalysis[[#This Row],[Unit Price]]-tblAnalysis[[#This Row],[Unit Cost]])</f>
        <v>120</v>
      </c>
    </row>
    <row r="370" spans="1:13">
      <c r="A370" t="s">
        <v>424</v>
      </c>
      <c r="B370" s="1">
        <v>45881</v>
      </c>
      <c r="C370" t="s">
        <v>41</v>
      </c>
      <c r="D370" t="s">
        <v>12</v>
      </c>
      <c r="E370">
        <v>10</v>
      </c>
      <c r="F370" t="str">
        <f>_xlfn.XLOOKUP(tblAnalysis[[#This Row],[Product ID]], tblProducts[Product ID], tblProducts[Product Name])</f>
        <v>Webcam</v>
      </c>
      <c r="G370" t="str">
        <f>_xlfn.XLOOKUP(tblAnalysis[[#This Row],[Product ID]], tblProducts[Product ID], tblProducts[Category])</f>
        <v>Electronics</v>
      </c>
      <c r="H370" s="22">
        <f>_xlfn.XLOOKUP(tblAnalysis[[#This Row],[Product ID]], tblProducts[Product ID], tblProducts[Unit Price])</f>
        <v>60</v>
      </c>
      <c r="I370" s="22">
        <f>_xlfn.XLOOKUP(tblAnalysis[[#This Row],[Product ID]], tblProducts[Product ID], tblProducts[Unit Cost])</f>
        <v>35</v>
      </c>
      <c r="J370" t="str">
        <f>_xlfn.XLOOKUP(tblAnalysis[[#This Row],[Rep ID]], tblReps[Rep ID], tblReps[Sales Rep])</f>
        <v>Sarah</v>
      </c>
      <c r="K370" t="str">
        <f>_xlfn.XLOOKUP(tblAnalysis[[#This Row],[Rep ID]], tblReps[Rep ID], tblReps[Region])</f>
        <v>Chicago</v>
      </c>
      <c r="L370" s="22">
        <f>tblAnalysis[[#This Row],[Quantity]]*tblAnalysis[[#This Row],[Unit Price]]</f>
        <v>600</v>
      </c>
      <c r="M370" s="22">
        <f>tblAnalysis[[#This Row],[Quantity]]*(tblAnalysis[[#This Row],[Unit Price]]-tblAnalysis[[#This Row],[Unit Cost]])</f>
        <v>250</v>
      </c>
    </row>
    <row r="371" spans="1:13">
      <c r="A371" t="s">
        <v>425</v>
      </c>
      <c r="B371" s="1">
        <v>45881</v>
      </c>
      <c r="C371" t="s">
        <v>45</v>
      </c>
      <c r="D371" t="s">
        <v>17</v>
      </c>
      <c r="E371">
        <v>7</v>
      </c>
      <c r="F371" t="str">
        <f>_xlfn.XLOOKUP(tblAnalysis[[#This Row],[Product ID]], tblProducts[Product ID], tblProducts[Product Name])</f>
        <v>Iron</v>
      </c>
      <c r="G371" t="str">
        <f>_xlfn.XLOOKUP(tblAnalysis[[#This Row],[Product ID]], tblProducts[Product ID], tblProducts[Category])</f>
        <v>Home &amp; Living</v>
      </c>
      <c r="H371" s="22">
        <f>_xlfn.XLOOKUP(tblAnalysis[[#This Row],[Product ID]], tblProducts[Product ID], tblProducts[Unit Price])</f>
        <v>35</v>
      </c>
      <c r="I371" s="22">
        <f>_xlfn.XLOOKUP(tblAnalysis[[#This Row],[Product ID]], tblProducts[Product ID], tblProducts[Unit Cost])</f>
        <v>20</v>
      </c>
      <c r="J371" t="str">
        <f>_xlfn.XLOOKUP(tblAnalysis[[#This Row],[Rep ID]], tblReps[Rep ID], tblReps[Sales Rep])</f>
        <v>David</v>
      </c>
      <c r="K371" t="str">
        <f>_xlfn.XLOOKUP(tblAnalysis[[#This Row],[Rep ID]], tblReps[Rep ID], tblReps[Region])</f>
        <v>Houston</v>
      </c>
      <c r="L371" s="22">
        <f>tblAnalysis[[#This Row],[Quantity]]*tblAnalysis[[#This Row],[Unit Price]]</f>
        <v>245</v>
      </c>
      <c r="M371" s="22">
        <f>tblAnalysis[[#This Row],[Quantity]]*(tblAnalysis[[#This Row],[Unit Price]]-tblAnalysis[[#This Row],[Unit Cost]])</f>
        <v>105</v>
      </c>
    </row>
    <row r="372" spans="1:13">
      <c r="A372" t="s">
        <v>426</v>
      </c>
      <c r="B372" s="1">
        <v>45882</v>
      </c>
      <c r="C372" t="s">
        <v>45</v>
      </c>
      <c r="D372" t="s">
        <v>8</v>
      </c>
      <c r="E372">
        <v>7</v>
      </c>
      <c r="F372" t="str">
        <f>_xlfn.XLOOKUP(tblAnalysis[[#This Row],[Product ID]], tblProducts[Product ID], tblProducts[Product Name])</f>
        <v>Mouse</v>
      </c>
      <c r="G372" t="str">
        <f>_xlfn.XLOOKUP(tblAnalysis[[#This Row],[Product ID]], tblProducts[Product ID], tblProducts[Category])</f>
        <v>Electronics</v>
      </c>
      <c r="H372" s="22">
        <f>_xlfn.XLOOKUP(tblAnalysis[[#This Row],[Product ID]], tblProducts[Product ID], tblProducts[Unit Price])</f>
        <v>25</v>
      </c>
      <c r="I372" s="22">
        <f>_xlfn.XLOOKUP(tblAnalysis[[#This Row],[Product ID]], tblProducts[Product ID], tblProducts[Unit Cost])</f>
        <v>12</v>
      </c>
      <c r="J372" t="str">
        <f>_xlfn.XLOOKUP(tblAnalysis[[#This Row],[Rep ID]], tblReps[Rep ID], tblReps[Sales Rep])</f>
        <v>David</v>
      </c>
      <c r="K372" t="str">
        <f>_xlfn.XLOOKUP(tblAnalysis[[#This Row],[Rep ID]], tblReps[Rep ID], tblReps[Region])</f>
        <v>Houston</v>
      </c>
      <c r="L372" s="22">
        <f>tblAnalysis[[#This Row],[Quantity]]*tblAnalysis[[#This Row],[Unit Price]]</f>
        <v>175</v>
      </c>
      <c r="M372" s="22">
        <f>tblAnalysis[[#This Row],[Quantity]]*(tblAnalysis[[#This Row],[Unit Price]]-tblAnalysis[[#This Row],[Unit Cost]])</f>
        <v>91</v>
      </c>
    </row>
    <row r="373" spans="1:13">
      <c r="A373" t="s">
        <v>427</v>
      </c>
      <c r="B373" s="1">
        <v>45882</v>
      </c>
      <c r="C373" t="s">
        <v>37</v>
      </c>
      <c r="D373" t="s">
        <v>8</v>
      </c>
      <c r="E373">
        <v>7</v>
      </c>
      <c r="F373" t="str">
        <f>_xlfn.XLOOKUP(tblAnalysis[[#This Row],[Product ID]], tblProducts[Product ID], tblProducts[Product Name])</f>
        <v>Mouse</v>
      </c>
      <c r="G373" t="str">
        <f>_xlfn.XLOOKUP(tblAnalysis[[#This Row],[Product ID]], tblProducts[Product ID], tblProducts[Category])</f>
        <v>Electronics</v>
      </c>
      <c r="H373" s="22">
        <f>_xlfn.XLOOKUP(tblAnalysis[[#This Row],[Product ID]], tblProducts[Product ID], tblProducts[Unit Price])</f>
        <v>25</v>
      </c>
      <c r="I373" s="22">
        <f>_xlfn.XLOOKUP(tblAnalysis[[#This Row],[Product ID]], tblProducts[Product ID], tblProducts[Unit Cost])</f>
        <v>12</v>
      </c>
      <c r="J373" t="str">
        <f>_xlfn.XLOOKUP(tblAnalysis[[#This Row],[Rep ID]], tblReps[Rep ID], tblReps[Sales Rep])</f>
        <v>Mike</v>
      </c>
      <c r="K373" t="str">
        <f>_xlfn.XLOOKUP(tblAnalysis[[#This Row],[Rep ID]], tblReps[Rep ID], tblReps[Region])</f>
        <v>Los Angeles</v>
      </c>
      <c r="L373" s="22">
        <f>tblAnalysis[[#This Row],[Quantity]]*tblAnalysis[[#This Row],[Unit Price]]</f>
        <v>175</v>
      </c>
      <c r="M373" s="22">
        <f>tblAnalysis[[#This Row],[Quantity]]*(tblAnalysis[[#This Row],[Unit Price]]-tblAnalysis[[#This Row],[Unit Cost]])</f>
        <v>91</v>
      </c>
    </row>
    <row r="374" spans="1:13">
      <c r="A374" t="s">
        <v>428</v>
      </c>
      <c r="B374" s="1">
        <v>45882</v>
      </c>
      <c r="C374" t="s">
        <v>45</v>
      </c>
      <c r="D374" t="s">
        <v>21</v>
      </c>
      <c r="E374">
        <v>1</v>
      </c>
      <c r="F374" t="str">
        <f>_xlfn.XLOOKUP(tblAnalysis[[#This Row],[Product ID]], tblProducts[Product ID], tblProducts[Product Name])</f>
        <v>T-Shirt</v>
      </c>
      <c r="G374" t="str">
        <f>_xlfn.XLOOKUP(tblAnalysis[[#This Row],[Product ID]], tblProducts[Product ID], tblProducts[Category])</f>
        <v>Fashion</v>
      </c>
      <c r="H374" s="22">
        <f>_xlfn.XLOOKUP(tblAnalysis[[#This Row],[Product ID]], tblProducts[Product ID], tblProducts[Unit Price])</f>
        <v>20</v>
      </c>
      <c r="I374" s="22">
        <f>_xlfn.XLOOKUP(tblAnalysis[[#This Row],[Product ID]], tblProducts[Product ID], tblProducts[Unit Cost])</f>
        <v>8</v>
      </c>
      <c r="J374" t="str">
        <f>_xlfn.XLOOKUP(tblAnalysis[[#This Row],[Rep ID]], tblReps[Rep ID], tblReps[Sales Rep])</f>
        <v>David</v>
      </c>
      <c r="K374" t="str">
        <f>_xlfn.XLOOKUP(tblAnalysis[[#This Row],[Rep ID]], tblReps[Rep ID], tblReps[Region])</f>
        <v>Houston</v>
      </c>
      <c r="L374" s="22">
        <f>tblAnalysis[[#This Row],[Quantity]]*tblAnalysis[[#This Row],[Unit Price]]</f>
        <v>20</v>
      </c>
      <c r="M374" s="22">
        <f>tblAnalysis[[#This Row],[Quantity]]*(tblAnalysis[[#This Row],[Unit Price]]-tblAnalysis[[#This Row],[Unit Cost]])</f>
        <v>12</v>
      </c>
    </row>
    <row r="375" spans="1:13">
      <c r="A375" t="s">
        <v>429</v>
      </c>
      <c r="B375" s="1">
        <v>45883</v>
      </c>
      <c r="C375" t="s">
        <v>33</v>
      </c>
      <c r="D375" t="s">
        <v>8</v>
      </c>
      <c r="E375">
        <v>5</v>
      </c>
      <c r="F375" t="str">
        <f>_xlfn.XLOOKUP(tblAnalysis[[#This Row],[Product ID]], tblProducts[Product ID], tblProducts[Product Name])</f>
        <v>Mouse</v>
      </c>
      <c r="G375" t="str">
        <f>_xlfn.XLOOKUP(tblAnalysis[[#This Row],[Product ID]], tblProducts[Product ID], tblProducts[Category])</f>
        <v>Electronics</v>
      </c>
      <c r="H375" s="22">
        <f>_xlfn.XLOOKUP(tblAnalysis[[#This Row],[Product ID]], tblProducts[Product ID], tblProducts[Unit Price])</f>
        <v>25</v>
      </c>
      <c r="I375" s="22">
        <f>_xlfn.XLOOKUP(tblAnalysis[[#This Row],[Product ID]], tblProducts[Product ID], tblProducts[Unit Cost])</f>
        <v>12</v>
      </c>
      <c r="J375" t="str">
        <f>_xlfn.XLOOKUP(tblAnalysis[[#This Row],[Rep ID]], tblReps[Rep ID], tblReps[Sales Rep])</f>
        <v>John</v>
      </c>
      <c r="K375" t="str">
        <f>_xlfn.XLOOKUP(tblAnalysis[[#This Row],[Rep ID]], tblReps[Rep ID], tblReps[Region])</f>
        <v>New York</v>
      </c>
      <c r="L375" s="22">
        <f>tblAnalysis[[#This Row],[Quantity]]*tblAnalysis[[#This Row],[Unit Price]]</f>
        <v>125</v>
      </c>
      <c r="M375" s="22">
        <f>tblAnalysis[[#This Row],[Quantity]]*(tblAnalysis[[#This Row],[Unit Price]]-tblAnalysis[[#This Row],[Unit Cost]])</f>
        <v>65</v>
      </c>
    </row>
    <row r="376" spans="1:13">
      <c r="A376" t="s">
        <v>430</v>
      </c>
      <c r="B376" s="1">
        <v>45884</v>
      </c>
      <c r="C376" t="s">
        <v>49</v>
      </c>
      <c r="D376" t="s">
        <v>14</v>
      </c>
      <c r="E376">
        <v>3</v>
      </c>
      <c r="F376" t="str">
        <f>_xlfn.XLOOKUP(tblAnalysis[[#This Row],[Product ID]], tblProducts[Product ID], tblProducts[Product Name])</f>
        <v>Blender</v>
      </c>
      <c r="G376" t="str">
        <f>_xlfn.XLOOKUP(tblAnalysis[[#This Row],[Product ID]], tblProducts[Product ID], tblProducts[Category])</f>
        <v>Home &amp; Living</v>
      </c>
      <c r="H376" s="22">
        <f>_xlfn.XLOOKUP(tblAnalysis[[#This Row],[Product ID]], tblProducts[Product ID], tblProducts[Unit Price])</f>
        <v>50</v>
      </c>
      <c r="I376" s="22">
        <f>_xlfn.XLOOKUP(tblAnalysis[[#This Row],[Product ID]], tblProducts[Product ID], tblProducts[Unit Cost])</f>
        <v>30</v>
      </c>
      <c r="J376" t="str">
        <f>_xlfn.XLOOKUP(tblAnalysis[[#This Row],[Rep ID]], tblReps[Rep ID], tblReps[Sales Rep])</f>
        <v>Emma</v>
      </c>
      <c r="K376" t="str">
        <f>_xlfn.XLOOKUP(tblAnalysis[[#This Row],[Rep ID]], tblReps[Rep ID], tblReps[Region])</f>
        <v>Miami</v>
      </c>
      <c r="L376" s="22">
        <f>tblAnalysis[[#This Row],[Quantity]]*tblAnalysis[[#This Row],[Unit Price]]</f>
        <v>150</v>
      </c>
      <c r="M376" s="22">
        <f>tblAnalysis[[#This Row],[Quantity]]*(tblAnalysis[[#This Row],[Unit Price]]-tblAnalysis[[#This Row],[Unit Cost]])</f>
        <v>60</v>
      </c>
    </row>
    <row r="377" spans="1:13">
      <c r="A377" t="s">
        <v>431</v>
      </c>
      <c r="B377" s="1">
        <v>45884</v>
      </c>
      <c r="C377" t="s">
        <v>37</v>
      </c>
      <c r="D377" t="s">
        <v>8</v>
      </c>
      <c r="E377">
        <v>8</v>
      </c>
      <c r="F377" t="str">
        <f>_xlfn.XLOOKUP(tblAnalysis[[#This Row],[Product ID]], tblProducts[Product ID], tblProducts[Product Name])</f>
        <v>Mouse</v>
      </c>
      <c r="G377" t="str">
        <f>_xlfn.XLOOKUP(tblAnalysis[[#This Row],[Product ID]], tblProducts[Product ID], tblProducts[Category])</f>
        <v>Electronics</v>
      </c>
      <c r="H377" s="22">
        <f>_xlfn.XLOOKUP(tblAnalysis[[#This Row],[Product ID]], tblProducts[Product ID], tblProducts[Unit Price])</f>
        <v>25</v>
      </c>
      <c r="I377" s="22">
        <f>_xlfn.XLOOKUP(tblAnalysis[[#This Row],[Product ID]], tblProducts[Product ID], tblProducts[Unit Cost])</f>
        <v>12</v>
      </c>
      <c r="J377" t="str">
        <f>_xlfn.XLOOKUP(tblAnalysis[[#This Row],[Rep ID]], tblReps[Rep ID], tblReps[Sales Rep])</f>
        <v>Mike</v>
      </c>
      <c r="K377" t="str">
        <f>_xlfn.XLOOKUP(tblAnalysis[[#This Row],[Rep ID]], tblReps[Rep ID], tblReps[Region])</f>
        <v>Los Angeles</v>
      </c>
      <c r="L377" s="22">
        <f>tblAnalysis[[#This Row],[Quantity]]*tblAnalysis[[#This Row],[Unit Price]]</f>
        <v>200</v>
      </c>
      <c r="M377" s="22">
        <f>tblAnalysis[[#This Row],[Quantity]]*(tblAnalysis[[#This Row],[Unit Price]]-tblAnalysis[[#This Row],[Unit Cost]])</f>
        <v>104</v>
      </c>
    </row>
    <row r="378" spans="1:13">
      <c r="A378" t="s">
        <v>432</v>
      </c>
      <c r="B378" s="1">
        <v>45884</v>
      </c>
      <c r="C378" t="s">
        <v>45</v>
      </c>
      <c r="D378" t="s">
        <v>26</v>
      </c>
      <c r="E378">
        <v>1</v>
      </c>
      <c r="F378" t="str">
        <f>_xlfn.XLOOKUP(tblAnalysis[[#This Row],[Product ID]], tblProducts[Product ID], tblProducts[Product Name])</f>
        <v>Shoes</v>
      </c>
      <c r="G378" t="str">
        <f>_xlfn.XLOOKUP(tblAnalysis[[#This Row],[Product ID]], tblProducts[Product ID], tblProducts[Category])</f>
        <v>Fashion</v>
      </c>
      <c r="H378" s="22">
        <f>_xlfn.XLOOKUP(tblAnalysis[[#This Row],[Product ID]], tblProducts[Product ID], tblProducts[Unit Price])</f>
        <v>75</v>
      </c>
      <c r="I378" s="22">
        <f>_xlfn.XLOOKUP(tblAnalysis[[#This Row],[Product ID]], tblProducts[Product ID], tblProducts[Unit Cost])</f>
        <v>40</v>
      </c>
      <c r="J378" t="str">
        <f>_xlfn.XLOOKUP(tblAnalysis[[#This Row],[Rep ID]], tblReps[Rep ID], tblReps[Sales Rep])</f>
        <v>David</v>
      </c>
      <c r="K378" t="str">
        <f>_xlfn.XLOOKUP(tblAnalysis[[#This Row],[Rep ID]], tblReps[Rep ID], tblReps[Region])</f>
        <v>Houston</v>
      </c>
      <c r="L378" s="22">
        <f>tblAnalysis[[#This Row],[Quantity]]*tblAnalysis[[#This Row],[Unit Price]]</f>
        <v>75</v>
      </c>
      <c r="M378" s="22">
        <f>tblAnalysis[[#This Row],[Quantity]]*(tblAnalysis[[#This Row],[Unit Price]]-tblAnalysis[[#This Row],[Unit Cost]])</f>
        <v>35</v>
      </c>
    </row>
    <row r="379" spans="1:13">
      <c r="A379" t="s">
        <v>433</v>
      </c>
      <c r="B379" s="1">
        <v>45886</v>
      </c>
      <c r="C379" t="s">
        <v>49</v>
      </c>
      <c r="D379" t="s">
        <v>24</v>
      </c>
      <c r="E379">
        <v>5</v>
      </c>
      <c r="F379" t="str">
        <f>_xlfn.XLOOKUP(tblAnalysis[[#This Row],[Product ID]], tblProducts[Product ID], tblProducts[Product Name])</f>
        <v>Pants</v>
      </c>
      <c r="G379" t="str">
        <f>_xlfn.XLOOKUP(tblAnalysis[[#This Row],[Product ID]], tblProducts[Product ID], tblProducts[Category])</f>
        <v>Fashion</v>
      </c>
      <c r="H379" s="22">
        <f>_xlfn.XLOOKUP(tblAnalysis[[#This Row],[Product ID]], tblProducts[Product ID], tblProducts[Unit Price])</f>
        <v>40</v>
      </c>
      <c r="I379" s="22">
        <f>_xlfn.XLOOKUP(tblAnalysis[[#This Row],[Product ID]], tblProducts[Product ID], tblProducts[Unit Cost])</f>
        <v>18</v>
      </c>
      <c r="J379" t="str">
        <f>_xlfn.XLOOKUP(tblAnalysis[[#This Row],[Rep ID]], tblReps[Rep ID], tblReps[Sales Rep])</f>
        <v>Emma</v>
      </c>
      <c r="K379" t="str">
        <f>_xlfn.XLOOKUP(tblAnalysis[[#This Row],[Rep ID]], tblReps[Rep ID], tblReps[Region])</f>
        <v>Miami</v>
      </c>
      <c r="L379" s="22">
        <f>tblAnalysis[[#This Row],[Quantity]]*tblAnalysis[[#This Row],[Unit Price]]</f>
        <v>200</v>
      </c>
      <c r="M379" s="22">
        <f>tblAnalysis[[#This Row],[Quantity]]*(tblAnalysis[[#This Row],[Unit Price]]-tblAnalysis[[#This Row],[Unit Cost]])</f>
        <v>110</v>
      </c>
    </row>
    <row r="380" spans="1:13">
      <c r="A380" t="s">
        <v>434</v>
      </c>
      <c r="B380" s="1">
        <v>45887</v>
      </c>
      <c r="C380" t="s">
        <v>37</v>
      </c>
      <c r="D380" t="s">
        <v>12</v>
      </c>
      <c r="E380">
        <v>2</v>
      </c>
      <c r="F380" t="str">
        <f>_xlfn.XLOOKUP(tblAnalysis[[#This Row],[Product ID]], tblProducts[Product ID], tblProducts[Product Name])</f>
        <v>Webcam</v>
      </c>
      <c r="G380" t="str">
        <f>_xlfn.XLOOKUP(tblAnalysis[[#This Row],[Product ID]], tblProducts[Product ID], tblProducts[Category])</f>
        <v>Electronics</v>
      </c>
      <c r="H380" s="22">
        <f>_xlfn.XLOOKUP(tblAnalysis[[#This Row],[Product ID]], tblProducts[Product ID], tblProducts[Unit Price])</f>
        <v>60</v>
      </c>
      <c r="I380" s="22">
        <f>_xlfn.XLOOKUP(tblAnalysis[[#This Row],[Product ID]], tblProducts[Product ID], tblProducts[Unit Cost])</f>
        <v>35</v>
      </c>
      <c r="J380" t="str">
        <f>_xlfn.XLOOKUP(tblAnalysis[[#This Row],[Rep ID]], tblReps[Rep ID], tblReps[Sales Rep])</f>
        <v>Mike</v>
      </c>
      <c r="K380" t="str">
        <f>_xlfn.XLOOKUP(tblAnalysis[[#This Row],[Rep ID]], tblReps[Rep ID], tblReps[Region])</f>
        <v>Los Angeles</v>
      </c>
      <c r="L380" s="22">
        <f>tblAnalysis[[#This Row],[Quantity]]*tblAnalysis[[#This Row],[Unit Price]]</f>
        <v>120</v>
      </c>
      <c r="M380" s="22">
        <f>tblAnalysis[[#This Row],[Quantity]]*(tblAnalysis[[#This Row],[Unit Price]]-tblAnalysis[[#This Row],[Unit Cost]])</f>
        <v>50</v>
      </c>
    </row>
    <row r="381" spans="1:13">
      <c r="A381" t="s">
        <v>435</v>
      </c>
      <c r="B381" s="1">
        <v>45888</v>
      </c>
      <c r="C381" t="s">
        <v>45</v>
      </c>
      <c r="D381" t="s">
        <v>12</v>
      </c>
      <c r="E381">
        <v>10</v>
      </c>
      <c r="F381" t="str">
        <f>_xlfn.XLOOKUP(tblAnalysis[[#This Row],[Product ID]], tblProducts[Product ID], tblProducts[Product Name])</f>
        <v>Webcam</v>
      </c>
      <c r="G381" t="str">
        <f>_xlfn.XLOOKUP(tblAnalysis[[#This Row],[Product ID]], tblProducts[Product ID], tblProducts[Category])</f>
        <v>Electronics</v>
      </c>
      <c r="H381" s="22">
        <f>_xlfn.XLOOKUP(tblAnalysis[[#This Row],[Product ID]], tblProducts[Product ID], tblProducts[Unit Price])</f>
        <v>60</v>
      </c>
      <c r="I381" s="22">
        <f>_xlfn.XLOOKUP(tblAnalysis[[#This Row],[Product ID]], tblProducts[Product ID], tblProducts[Unit Cost])</f>
        <v>35</v>
      </c>
      <c r="J381" t="str">
        <f>_xlfn.XLOOKUP(tblAnalysis[[#This Row],[Rep ID]], tblReps[Rep ID], tblReps[Sales Rep])</f>
        <v>David</v>
      </c>
      <c r="K381" t="str">
        <f>_xlfn.XLOOKUP(tblAnalysis[[#This Row],[Rep ID]], tblReps[Rep ID], tblReps[Region])</f>
        <v>Houston</v>
      </c>
      <c r="L381" s="22">
        <f>tblAnalysis[[#This Row],[Quantity]]*tblAnalysis[[#This Row],[Unit Price]]</f>
        <v>600</v>
      </c>
      <c r="M381" s="22">
        <f>tblAnalysis[[#This Row],[Quantity]]*(tblAnalysis[[#This Row],[Unit Price]]-tblAnalysis[[#This Row],[Unit Cost]])</f>
        <v>250</v>
      </c>
    </row>
    <row r="382" spans="1:13">
      <c r="A382" t="s">
        <v>436</v>
      </c>
      <c r="B382" s="1">
        <v>45888</v>
      </c>
      <c r="C382" t="s">
        <v>41</v>
      </c>
      <c r="D382" t="s">
        <v>12</v>
      </c>
      <c r="E382">
        <v>1</v>
      </c>
      <c r="F382" t="str">
        <f>_xlfn.XLOOKUP(tblAnalysis[[#This Row],[Product ID]], tblProducts[Product ID], tblProducts[Product Name])</f>
        <v>Webcam</v>
      </c>
      <c r="G382" t="str">
        <f>_xlfn.XLOOKUP(tblAnalysis[[#This Row],[Product ID]], tblProducts[Product ID], tblProducts[Category])</f>
        <v>Electronics</v>
      </c>
      <c r="H382" s="22">
        <f>_xlfn.XLOOKUP(tblAnalysis[[#This Row],[Product ID]], tblProducts[Product ID], tblProducts[Unit Price])</f>
        <v>60</v>
      </c>
      <c r="I382" s="22">
        <f>_xlfn.XLOOKUP(tblAnalysis[[#This Row],[Product ID]], tblProducts[Product ID], tblProducts[Unit Cost])</f>
        <v>35</v>
      </c>
      <c r="J382" t="str">
        <f>_xlfn.XLOOKUP(tblAnalysis[[#This Row],[Rep ID]], tblReps[Rep ID], tblReps[Sales Rep])</f>
        <v>Sarah</v>
      </c>
      <c r="K382" t="str">
        <f>_xlfn.XLOOKUP(tblAnalysis[[#This Row],[Rep ID]], tblReps[Rep ID], tblReps[Region])</f>
        <v>Chicago</v>
      </c>
      <c r="L382" s="22">
        <f>tblAnalysis[[#This Row],[Quantity]]*tblAnalysis[[#This Row],[Unit Price]]</f>
        <v>60</v>
      </c>
      <c r="M382" s="22">
        <f>tblAnalysis[[#This Row],[Quantity]]*(tblAnalysis[[#This Row],[Unit Price]]-tblAnalysis[[#This Row],[Unit Cost]])</f>
        <v>25</v>
      </c>
    </row>
    <row r="383" spans="1:13">
      <c r="A383" t="s">
        <v>437</v>
      </c>
      <c r="B383" s="1">
        <v>45888</v>
      </c>
      <c r="C383" t="s">
        <v>45</v>
      </c>
      <c r="D383" t="s">
        <v>24</v>
      </c>
      <c r="E383">
        <v>1</v>
      </c>
      <c r="F383" t="str">
        <f>_xlfn.XLOOKUP(tblAnalysis[[#This Row],[Product ID]], tblProducts[Product ID], tblProducts[Product Name])</f>
        <v>Pants</v>
      </c>
      <c r="G383" t="str">
        <f>_xlfn.XLOOKUP(tblAnalysis[[#This Row],[Product ID]], tblProducts[Product ID], tblProducts[Category])</f>
        <v>Fashion</v>
      </c>
      <c r="H383" s="22">
        <f>_xlfn.XLOOKUP(tblAnalysis[[#This Row],[Product ID]], tblProducts[Product ID], tblProducts[Unit Price])</f>
        <v>40</v>
      </c>
      <c r="I383" s="22">
        <f>_xlfn.XLOOKUP(tblAnalysis[[#This Row],[Product ID]], tblProducts[Product ID], tblProducts[Unit Cost])</f>
        <v>18</v>
      </c>
      <c r="J383" t="str">
        <f>_xlfn.XLOOKUP(tblAnalysis[[#This Row],[Rep ID]], tblReps[Rep ID], tblReps[Sales Rep])</f>
        <v>David</v>
      </c>
      <c r="K383" t="str">
        <f>_xlfn.XLOOKUP(tblAnalysis[[#This Row],[Rep ID]], tblReps[Rep ID], tblReps[Region])</f>
        <v>Houston</v>
      </c>
      <c r="L383" s="22">
        <f>tblAnalysis[[#This Row],[Quantity]]*tblAnalysis[[#This Row],[Unit Price]]</f>
        <v>40</v>
      </c>
      <c r="M383" s="22">
        <f>tblAnalysis[[#This Row],[Quantity]]*(tblAnalysis[[#This Row],[Unit Price]]-tblAnalysis[[#This Row],[Unit Cost]])</f>
        <v>22</v>
      </c>
    </row>
    <row r="384" spans="1:13">
      <c r="A384" t="s">
        <v>438</v>
      </c>
      <c r="B384" s="1">
        <v>45888</v>
      </c>
      <c r="C384" t="s">
        <v>41</v>
      </c>
      <c r="D384" t="s">
        <v>26</v>
      </c>
      <c r="E384">
        <v>1</v>
      </c>
      <c r="F384" t="str">
        <f>_xlfn.XLOOKUP(tblAnalysis[[#This Row],[Product ID]], tblProducts[Product ID], tblProducts[Product Name])</f>
        <v>Shoes</v>
      </c>
      <c r="G384" t="str">
        <f>_xlfn.XLOOKUP(tblAnalysis[[#This Row],[Product ID]], tblProducts[Product ID], tblProducts[Category])</f>
        <v>Fashion</v>
      </c>
      <c r="H384" s="22">
        <f>_xlfn.XLOOKUP(tblAnalysis[[#This Row],[Product ID]], tblProducts[Product ID], tblProducts[Unit Price])</f>
        <v>75</v>
      </c>
      <c r="I384" s="22">
        <f>_xlfn.XLOOKUP(tblAnalysis[[#This Row],[Product ID]], tblProducts[Product ID], tblProducts[Unit Cost])</f>
        <v>40</v>
      </c>
      <c r="J384" t="str">
        <f>_xlfn.XLOOKUP(tblAnalysis[[#This Row],[Rep ID]], tblReps[Rep ID], tblReps[Sales Rep])</f>
        <v>Sarah</v>
      </c>
      <c r="K384" t="str">
        <f>_xlfn.XLOOKUP(tblAnalysis[[#This Row],[Rep ID]], tblReps[Rep ID], tblReps[Region])</f>
        <v>Chicago</v>
      </c>
      <c r="L384" s="22">
        <f>tblAnalysis[[#This Row],[Quantity]]*tblAnalysis[[#This Row],[Unit Price]]</f>
        <v>75</v>
      </c>
      <c r="M384" s="22">
        <f>tblAnalysis[[#This Row],[Quantity]]*(tblAnalysis[[#This Row],[Unit Price]]-tblAnalysis[[#This Row],[Unit Cost]])</f>
        <v>35</v>
      </c>
    </row>
    <row r="385" spans="1:13">
      <c r="A385" t="s">
        <v>439</v>
      </c>
      <c r="B385" s="1">
        <v>45890</v>
      </c>
      <c r="C385" t="s">
        <v>33</v>
      </c>
      <c r="D385" t="s">
        <v>19</v>
      </c>
      <c r="E385">
        <v>4</v>
      </c>
      <c r="F385" t="str">
        <f>_xlfn.XLOOKUP(tblAnalysis[[#This Row],[Product ID]], tblProducts[Product ID], tblProducts[Product Name])</f>
        <v>Fan</v>
      </c>
      <c r="G385" t="str">
        <f>_xlfn.XLOOKUP(tblAnalysis[[#This Row],[Product ID]], tblProducts[Product ID], tblProducts[Category])</f>
        <v>Home &amp; Living</v>
      </c>
      <c r="H385" s="22">
        <f>_xlfn.XLOOKUP(tblAnalysis[[#This Row],[Product ID]], tblProducts[Product ID], tblProducts[Unit Price])</f>
        <v>45</v>
      </c>
      <c r="I385" s="22">
        <f>_xlfn.XLOOKUP(tblAnalysis[[#This Row],[Product ID]], tblProducts[Product ID], tblProducts[Unit Cost])</f>
        <v>25</v>
      </c>
      <c r="J385" t="str">
        <f>_xlfn.XLOOKUP(tblAnalysis[[#This Row],[Rep ID]], tblReps[Rep ID], tblReps[Sales Rep])</f>
        <v>John</v>
      </c>
      <c r="K385" t="str">
        <f>_xlfn.XLOOKUP(tblAnalysis[[#This Row],[Rep ID]], tblReps[Rep ID], tblReps[Region])</f>
        <v>New York</v>
      </c>
      <c r="L385" s="22">
        <f>tblAnalysis[[#This Row],[Quantity]]*tblAnalysis[[#This Row],[Unit Price]]</f>
        <v>180</v>
      </c>
      <c r="M385" s="22">
        <f>tblAnalysis[[#This Row],[Quantity]]*(tblAnalysis[[#This Row],[Unit Price]]-tblAnalysis[[#This Row],[Unit Cost]])</f>
        <v>80</v>
      </c>
    </row>
    <row r="386" spans="1:13">
      <c r="A386" t="s">
        <v>440</v>
      </c>
      <c r="B386" s="1">
        <v>45890</v>
      </c>
      <c r="C386" t="s">
        <v>45</v>
      </c>
      <c r="D386" t="s">
        <v>17</v>
      </c>
      <c r="E386">
        <v>2</v>
      </c>
      <c r="F386" t="str">
        <f>_xlfn.XLOOKUP(tblAnalysis[[#This Row],[Product ID]], tblProducts[Product ID], tblProducts[Product Name])</f>
        <v>Iron</v>
      </c>
      <c r="G386" t="str">
        <f>_xlfn.XLOOKUP(tblAnalysis[[#This Row],[Product ID]], tblProducts[Product ID], tblProducts[Category])</f>
        <v>Home &amp; Living</v>
      </c>
      <c r="H386" s="22">
        <f>_xlfn.XLOOKUP(tblAnalysis[[#This Row],[Product ID]], tblProducts[Product ID], tblProducts[Unit Price])</f>
        <v>35</v>
      </c>
      <c r="I386" s="22">
        <f>_xlfn.XLOOKUP(tblAnalysis[[#This Row],[Product ID]], tblProducts[Product ID], tblProducts[Unit Cost])</f>
        <v>20</v>
      </c>
      <c r="J386" t="str">
        <f>_xlfn.XLOOKUP(tblAnalysis[[#This Row],[Rep ID]], tblReps[Rep ID], tblReps[Sales Rep])</f>
        <v>David</v>
      </c>
      <c r="K386" t="str">
        <f>_xlfn.XLOOKUP(tblAnalysis[[#This Row],[Rep ID]], tblReps[Rep ID], tblReps[Region])</f>
        <v>Houston</v>
      </c>
      <c r="L386" s="22">
        <f>tblAnalysis[[#This Row],[Quantity]]*tblAnalysis[[#This Row],[Unit Price]]</f>
        <v>70</v>
      </c>
      <c r="M386" s="22">
        <f>tblAnalysis[[#This Row],[Quantity]]*(tblAnalysis[[#This Row],[Unit Price]]-tblAnalysis[[#This Row],[Unit Cost]])</f>
        <v>30</v>
      </c>
    </row>
    <row r="387" spans="1:13">
      <c r="A387" t="s">
        <v>441</v>
      </c>
      <c r="B387" s="1">
        <v>45890</v>
      </c>
      <c r="C387" t="s">
        <v>41</v>
      </c>
      <c r="D387" t="s">
        <v>8</v>
      </c>
      <c r="E387">
        <v>1</v>
      </c>
      <c r="F387" t="str">
        <f>_xlfn.XLOOKUP(tblAnalysis[[#This Row],[Product ID]], tblProducts[Product ID], tblProducts[Product Name])</f>
        <v>Mouse</v>
      </c>
      <c r="G387" t="str">
        <f>_xlfn.XLOOKUP(tblAnalysis[[#This Row],[Product ID]], tblProducts[Product ID], tblProducts[Category])</f>
        <v>Electronics</v>
      </c>
      <c r="H387" s="22">
        <f>_xlfn.XLOOKUP(tblAnalysis[[#This Row],[Product ID]], tblProducts[Product ID], tblProducts[Unit Price])</f>
        <v>25</v>
      </c>
      <c r="I387" s="22">
        <f>_xlfn.XLOOKUP(tblAnalysis[[#This Row],[Product ID]], tblProducts[Product ID], tblProducts[Unit Cost])</f>
        <v>12</v>
      </c>
      <c r="J387" t="str">
        <f>_xlfn.XLOOKUP(tblAnalysis[[#This Row],[Rep ID]], tblReps[Rep ID], tblReps[Sales Rep])</f>
        <v>Sarah</v>
      </c>
      <c r="K387" t="str">
        <f>_xlfn.XLOOKUP(tblAnalysis[[#This Row],[Rep ID]], tblReps[Rep ID], tblReps[Region])</f>
        <v>Chicago</v>
      </c>
      <c r="L387" s="22">
        <f>tblAnalysis[[#This Row],[Quantity]]*tblAnalysis[[#This Row],[Unit Price]]</f>
        <v>25</v>
      </c>
      <c r="M387" s="22">
        <f>tblAnalysis[[#This Row],[Quantity]]*(tblAnalysis[[#This Row],[Unit Price]]-tblAnalysis[[#This Row],[Unit Cost]])</f>
        <v>13</v>
      </c>
    </row>
    <row r="388" spans="1:13">
      <c r="A388" t="s">
        <v>442</v>
      </c>
      <c r="B388" s="1">
        <v>45890</v>
      </c>
      <c r="C388" t="s">
        <v>49</v>
      </c>
      <c r="D388" t="s">
        <v>17</v>
      </c>
      <c r="E388">
        <v>5</v>
      </c>
      <c r="F388" t="str">
        <f>_xlfn.XLOOKUP(tblAnalysis[[#This Row],[Product ID]], tblProducts[Product ID], tblProducts[Product Name])</f>
        <v>Iron</v>
      </c>
      <c r="G388" t="str">
        <f>_xlfn.XLOOKUP(tblAnalysis[[#This Row],[Product ID]], tblProducts[Product ID], tblProducts[Category])</f>
        <v>Home &amp; Living</v>
      </c>
      <c r="H388" s="22">
        <f>_xlfn.XLOOKUP(tblAnalysis[[#This Row],[Product ID]], tblProducts[Product ID], tblProducts[Unit Price])</f>
        <v>35</v>
      </c>
      <c r="I388" s="22">
        <f>_xlfn.XLOOKUP(tblAnalysis[[#This Row],[Product ID]], tblProducts[Product ID], tblProducts[Unit Cost])</f>
        <v>20</v>
      </c>
      <c r="J388" t="str">
        <f>_xlfn.XLOOKUP(tblAnalysis[[#This Row],[Rep ID]], tblReps[Rep ID], tblReps[Sales Rep])</f>
        <v>Emma</v>
      </c>
      <c r="K388" t="str">
        <f>_xlfn.XLOOKUP(tblAnalysis[[#This Row],[Rep ID]], tblReps[Rep ID], tblReps[Region])</f>
        <v>Miami</v>
      </c>
      <c r="L388" s="22">
        <f>tblAnalysis[[#This Row],[Quantity]]*tblAnalysis[[#This Row],[Unit Price]]</f>
        <v>175</v>
      </c>
      <c r="M388" s="22">
        <f>tblAnalysis[[#This Row],[Quantity]]*(tblAnalysis[[#This Row],[Unit Price]]-tblAnalysis[[#This Row],[Unit Cost]])</f>
        <v>75</v>
      </c>
    </row>
    <row r="389" spans="1:13">
      <c r="A389" t="s">
        <v>443</v>
      </c>
      <c r="B389" s="1">
        <v>45890</v>
      </c>
      <c r="C389" t="s">
        <v>33</v>
      </c>
      <c r="D389" t="s">
        <v>5</v>
      </c>
      <c r="E389">
        <v>8</v>
      </c>
      <c r="F389" t="str">
        <f>_xlfn.XLOOKUP(tblAnalysis[[#This Row],[Product ID]], tblProducts[Product ID], tblProducts[Product Name])</f>
        <v>Headset</v>
      </c>
      <c r="G389" t="str">
        <f>_xlfn.XLOOKUP(tblAnalysis[[#This Row],[Product ID]], tblProducts[Product ID], tblProducts[Category])</f>
        <v>Electronics</v>
      </c>
      <c r="H389" s="22">
        <f>_xlfn.XLOOKUP(tblAnalysis[[#This Row],[Product ID]], tblProducts[Product ID], tblProducts[Unit Price])</f>
        <v>75</v>
      </c>
      <c r="I389" s="22">
        <f>_xlfn.XLOOKUP(tblAnalysis[[#This Row],[Product ID]], tblProducts[Product ID], tblProducts[Unit Cost])</f>
        <v>45</v>
      </c>
      <c r="J389" t="str">
        <f>_xlfn.XLOOKUP(tblAnalysis[[#This Row],[Rep ID]], tblReps[Rep ID], tblReps[Sales Rep])</f>
        <v>John</v>
      </c>
      <c r="K389" t="str">
        <f>_xlfn.XLOOKUP(tblAnalysis[[#This Row],[Rep ID]], tblReps[Rep ID], tblReps[Region])</f>
        <v>New York</v>
      </c>
      <c r="L389" s="22">
        <f>tblAnalysis[[#This Row],[Quantity]]*tblAnalysis[[#This Row],[Unit Price]]</f>
        <v>600</v>
      </c>
      <c r="M389" s="22">
        <f>tblAnalysis[[#This Row],[Quantity]]*(tblAnalysis[[#This Row],[Unit Price]]-tblAnalysis[[#This Row],[Unit Cost]])</f>
        <v>240</v>
      </c>
    </row>
    <row r="390" spans="1:13">
      <c r="A390" t="s">
        <v>444</v>
      </c>
      <c r="B390" s="1">
        <v>45891</v>
      </c>
      <c r="C390" t="s">
        <v>33</v>
      </c>
      <c r="D390" t="s">
        <v>19</v>
      </c>
      <c r="E390">
        <v>3</v>
      </c>
      <c r="F390" t="str">
        <f>_xlfn.XLOOKUP(tblAnalysis[[#This Row],[Product ID]], tblProducts[Product ID], tblProducts[Product Name])</f>
        <v>Fan</v>
      </c>
      <c r="G390" t="str">
        <f>_xlfn.XLOOKUP(tblAnalysis[[#This Row],[Product ID]], tblProducts[Product ID], tblProducts[Category])</f>
        <v>Home &amp; Living</v>
      </c>
      <c r="H390" s="22">
        <f>_xlfn.XLOOKUP(tblAnalysis[[#This Row],[Product ID]], tblProducts[Product ID], tblProducts[Unit Price])</f>
        <v>45</v>
      </c>
      <c r="I390" s="22">
        <f>_xlfn.XLOOKUP(tblAnalysis[[#This Row],[Product ID]], tblProducts[Product ID], tblProducts[Unit Cost])</f>
        <v>25</v>
      </c>
      <c r="J390" t="str">
        <f>_xlfn.XLOOKUP(tblAnalysis[[#This Row],[Rep ID]], tblReps[Rep ID], tblReps[Sales Rep])</f>
        <v>John</v>
      </c>
      <c r="K390" t="str">
        <f>_xlfn.XLOOKUP(tblAnalysis[[#This Row],[Rep ID]], tblReps[Rep ID], tblReps[Region])</f>
        <v>New York</v>
      </c>
      <c r="L390" s="22">
        <f>tblAnalysis[[#This Row],[Quantity]]*tblAnalysis[[#This Row],[Unit Price]]</f>
        <v>135</v>
      </c>
      <c r="M390" s="22">
        <f>tblAnalysis[[#This Row],[Quantity]]*(tblAnalysis[[#This Row],[Unit Price]]-tblAnalysis[[#This Row],[Unit Cost]])</f>
        <v>60</v>
      </c>
    </row>
    <row r="391" spans="1:13">
      <c r="A391" t="s">
        <v>445</v>
      </c>
      <c r="B391" s="1">
        <v>45892</v>
      </c>
      <c r="C391" t="s">
        <v>37</v>
      </c>
      <c r="D391" t="s">
        <v>19</v>
      </c>
      <c r="E391">
        <v>9</v>
      </c>
      <c r="F391" t="str">
        <f>_xlfn.XLOOKUP(tblAnalysis[[#This Row],[Product ID]], tblProducts[Product ID], tblProducts[Product Name])</f>
        <v>Fan</v>
      </c>
      <c r="G391" t="str">
        <f>_xlfn.XLOOKUP(tblAnalysis[[#This Row],[Product ID]], tblProducts[Product ID], tblProducts[Category])</f>
        <v>Home &amp; Living</v>
      </c>
      <c r="H391" s="22">
        <f>_xlfn.XLOOKUP(tblAnalysis[[#This Row],[Product ID]], tblProducts[Product ID], tblProducts[Unit Price])</f>
        <v>45</v>
      </c>
      <c r="I391" s="22">
        <f>_xlfn.XLOOKUP(tblAnalysis[[#This Row],[Product ID]], tblProducts[Product ID], tblProducts[Unit Cost])</f>
        <v>25</v>
      </c>
      <c r="J391" t="str">
        <f>_xlfn.XLOOKUP(tblAnalysis[[#This Row],[Rep ID]], tblReps[Rep ID], tblReps[Sales Rep])</f>
        <v>Mike</v>
      </c>
      <c r="K391" t="str">
        <f>_xlfn.XLOOKUP(tblAnalysis[[#This Row],[Rep ID]], tblReps[Rep ID], tblReps[Region])</f>
        <v>Los Angeles</v>
      </c>
      <c r="L391" s="22">
        <f>tblAnalysis[[#This Row],[Quantity]]*tblAnalysis[[#This Row],[Unit Price]]</f>
        <v>405</v>
      </c>
      <c r="M391" s="22">
        <f>tblAnalysis[[#This Row],[Quantity]]*(tblAnalysis[[#This Row],[Unit Price]]-tblAnalysis[[#This Row],[Unit Cost]])</f>
        <v>180</v>
      </c>
    </row>
    <row r="392" spans="1:13">
      <c r="A392" t="s">
        <v>446</v>
      </c>
      <c r="B392" s="1">
        <v>45893</v>
      </c>
      <c r="C392" t="s">
        <v>33</v>
      </c>
      <c r="D392" t="s">
        <v>24</v>
      </c>
      <c r="E392">
        <v>1</v>
      </c>
      <c r="F392" t="str">
        <f>_xlfn.XLOOKUP(tblAnalysis[[#This Row],[Product ID]], tblProducts[Product ID], tblProducts[Product Name])</f>
        <v>Pants</v>
      </c>
      <c r="G392" t="str">
        <f>_xlfn.XLOOKUP(tblAnalysis[[#This Row],[Product ID]], tblProducts[Product ID], tblProducts[Category])</f>
        <v>Fashion</v>
      </c>
      <c r="H392" s="22">
        <f>_xlfn.XLOOKUP(tblAnalysis[[#This Row],[Product ID]], tblProducts[Product ID], tblProducts[Unit Price])</f>
        <v>40</v>
      </c>
      <c r="I392" s="22">
        <f>_xlfn.XLOOKUP(tblAnalysis[[#This Row],[Product ID]], tblProducts[Product ID], tblProducts[Unit Cost])</f>
        <v>18</v>
      </c>
      <c r="J392" t="str">
        <f>_xlfn.XLOOKUP(tblAnalysis[[#This Row],[Rep ID]], tblReps[Rep ID], tblReps[Sales Rep])</f>
        <v>John</v>
      </c>
      <c r="K392" t="str">
        <f>_xlfn.XLOOKUP(tblAnalysis[[#This Row],[Rep ID]], tblReps[Rep ID], tblReps[Region])</f>
        <v>New York</v>
      </c>
      <c r="L392" s="22">
        <f>tblAnalysis[[#This Row],[Quantity]]*tblAnalysis[[#This Row],[Unit Price]]</f>
        <v>40</v>
      </c>
      <c r="M392" s="22">
        <f>tblAnalysis[[#This Row],[Quantity]]*(tblAnalysis[[#This Row],[Unit Price]]-tblAnalysis[[#This Row],[Unit Cost]])</f>
        <v>22</v>
      </c>
    </row>
    <row r="393" spans="1:13">
      <c r="A393" t="s">
        <v>447</v>
      </c>
      <c r="B393" s="1">
        <v>45894</v>
      </c>
      <c r="C393" t="s">
        <v>41</v>
      </c>
      <c r="D393" t="s">
        <v>10</v>
      </c>
      <c r="E393">
        <v>9</v>
      </c>
      <c r="F393" t="str">
        <f>_xlfn.XLOOKUP(tblAnalysis[[#This Row],[Product ID]], tblProducts[Product ID], tblProducts[Product Name])</f>
        <v>Keyboard</v>
      </c>
      <c r="G393" t="str">
        <f>_xlfn.XLOOKUP(tblAnalysis[[#This Row],[Product ID]], tblProducts[Product ID], tblProducts[Category])</f>
        <v>Electronics</v>
      </c>
      <c r="H393" s="22">
        <f>_xlfn.XLOOKUP(tblAnalysis[[#This Row],[Product ID]], tblProducts[Product ID], tblProducts[Unit Price])</f>
        <v>40</v>
      </c>
      <c r="I393" s="22">
        <f>_xlfn.XLOOKUP(tblAnalysis[[#This Row],[Product ID]], tblProducts[Product ID], tblProducts[Unit Cost])</f>
        <v>22</v>
      </c>
      <c r="J393" t="str">
        <f>_xlfn.XLOOKUP(tblAnalysis[[#This Row],[Rep ID]], tblReps[Rep ID], tblReps[Sales Rep])</f>
        <v>Sarah</v>
      </c>
      <c r="K393" t="str">
        <f>_xlfn.XLOOKUP(tblAnalysis[[#This Row],[Rep ID]], tblReps[Rep ID], tblReps[Region])</f>
        <v>Chicago</v>
      </c>
      <c r="L393" s="22">
        <f>tblAnalysis[[#This Row],[Quantity]]*tblAnalysis[[#This Row],[Unit Price]]</f>
        <v>360</v>
      </c>
      <c r="M393" s="22">
        <f>tblAnalysis[[#This Row],[Quantity]]*(tblAnalysis[[#This Row],[Unit Price]]-tblAnalysis[[#This Row],[Unit Cost]])</f>
        <v>162</v>
      </c>
    </row>
    <row r="394" spans="1:13">
      <c r="A394" t="s">
        <v>448</v>
      </c>
      <c r="B394" s="1">
        <v>45894</v>
      </c>
      <c r="C394" t="s">
        <v>45</v>
      </c>
      <c r="D394" t="s">
        <v>14</v>
      </c>
      <c r="E394">
        <v>2</v>
      </c>
      <c r="F394" t="str">
        <f>_xlfn.XLOOKUP(tblAnalysis[[#This Row],[Product ID]], tblProducts[Product ID], tblProducts[Product Name])</f>
        <v>Blender</v>
      </c>
      <c r="G394" t="str">
        <f>_xlfn.XLOOKUP(tblAnalysis[[#This Row],[Product ID]], tblProducts[Product ID], tblProducts[Category])</f>
        <v>Home &amp; Living</v>
      </c>
      <c r="H394" s="22">
        <f>_xlfn.XLOOKUP(tblAnalysis[[#This Row],[Product ID]], tblProducts[Product ID], tblProducts[Unit Price])</f>
        <v>50</v>
      </c>
      <c r="I394" s="22">
        <f>_xlfn.XLOOKUP(tblAnalysis[[#This Row],[Product ID]], tblProducts[Product ID], tblProducts[Unit Cost])</f>
        <v>30</v>
      </c>
      <c r="J394" t="str">
        <f>_xlfn.XLOOKUP(tblAnalysis[[#This Row],[Rep ID]], tblReps[Rep ID], tblReps[Sales Rep])</f>
        <v>David</v>
      </c>
      <c r="K394" t="str">
        <f>_xlfn.XLOOKUP(tblAnalysis[[#This Row],[Rep ID]], tblReps[Rep ID], tblReps[Region])</f>
        <v>Houston</v>
      </c>
      <c r="L394" s="22">
        <f>tblAnalysis[[#This Row],[Quantity]]*tblAnalysis[[#This Row],[Unit Price]]</f>
        <v>100</v>
      </c>
      <c r="M394" s="22">
        <f>tblAnalysis[[#This Row],[Quantity]]*(tblAnalysis[[#This Row],[Unit Price]]-tblAnalysis[[#This Row],[Unit Cost]])</f>
        <v>40</v>
      </c>
    </row>
    <row r="395" spans="1:13">
      <c r="A395" t="s">
        <v>449</v>
      </c>
      <c r="B395" s="1">
        <v>45894</v>
      </c>
      <c r="C395" t="s">
        <v>41</v>
      </c>
      <c r="D395" t="s">
        <v>14</v>
      </c>
      <c r="E395">
        <v>4</v>
      </c>
      <c r="F395" t="str">
        <f>_xlfn.XLOOKUP(tblAnalysis[[#This Row],[Product ID]], tblProducts[Product ID], tblProducts[Product Name])</f>
        <v>Blender</v>
      </c>
      <c r="G395" t="str">
        <f>_xlfn.XLOOKUP(tblAnalysis[[#This Row],[Product ID]], tblProducts[Product ID], tblProducts[Category])</f>
        <v>Home &amp; Living</v>
      </c>
      <c r="H395" s="22">
        <f>_xlfn.XLOOKUP(tblAnalysis[[#This Row],[Product ID]], tblProducts[Product ID], tblProducts[Unit Price])</f>
        <v>50</v>
      </c>
      <c r="I395" s="22">
        <f>_xlfn.XLOOKUP(tblAnalysis[[#This Row],[Product ID]], tblProducts[Product ID], tblProducts[Unit Cost])</f>
        <v>30</v>
      </c>
      <c r="J395" t="str">
        <f>_xlfn.XLOOKUP(tblAnalysis[[#This Row],[Rep ID]], tblReps[Rep ID], tblReps[Sales Rep])</f>
        <v>Sarah</v>
      </c>
      <c r="K395" t="str">
        <f>_xlfn.XLOOKUP(tblAnalysis[[#This Row],[Rep ID]], tblReps[Rep ID], tblReps[Region])</f>
        <v>Chicago</v>
      </c>
      <c r="L395" s="22">
        <f>tblAnalysis[[#This Row],[Quantity]]*tblAnalysis[[#This Row],[Unit Price]]</f>
        <v>200</v>
      </c>
      <c r="M395" s="22">
        <f>tblAnalysis[[#This Row],[Quantity]]*(tblAnalysis[[#This Row],[Unit Price]]-tblAnalysis[[#This Row],[Unit Cost]])</f>
        <v>80</v>
      </c>
    </row>
    <row r="396" spans="1:13">
      <c r="A396" t="s">
        <v>450</v>
      </c>
      <c r="B396" s="1">
        <v>45895</v>
      </c>
      <c r="C396" t="s">
        <v>49</v>
      </c>
      <c r="D396" t="s">
        <v>26</v>
      </c>
      <c r="E396">
        <v>9</v>
      </c>
      <c r="F396" t="str">
        <f>_xlfn.XLOOKUP(tblAnalysis[[#This Row],[Product ID]], tblProducts[Product ID], tblProducts[Product Name])</f>
        <v>Shoes</v>
      </c>
      <c r="G396" t="str">
        <f>_xlfn.XLOOKUP(tblAnalysis[[#This Row],[Product ID]], tblProducts[Product ID], tblProducts[Category])</f>
        <v>Fashion</v>
      </c>
      <c r="H396" s="22">
        <f>_xlfn.XLOOKUP(tblAnalysis[[#This Row],[Product ID]], tblProducts[Product ID], tblProducts[Unit Price])</f>
        <v>75</v>
      </c>
      <c r="I396" s="22">
        <f>_xlfn.XLOOKUP(tblAnalysis[[#This Row],[Product ID]], tblProducts[Product ID], tblProducts[Unit Cost])</f>
        <v>40</v>
      </c>
      <c r="J396" t="str">
        <f>_xlfn.XLOOKUP(tblAnalysis[[#This Row],[Rep ID]], tblReps[Rep ID], tblReps[Sales Rep])</f>
        <v>Emma</v>
      </c>
      <c r="K396" t="str">
        <f>_xlfn.XLOOKUP(tblAnalysis[[#This Row],[Rep ID]], tblReps[Rep ID], tblReps[Region])</f>
        <v>Miami</v>
      </c>
      <c r="L396" s="22">
        <f>tblAnalysis[[#This Row],[Quantity]]*tblAnalysis[[#This Row],[Unit Price]]</f>
        <v>675</v>
      </c>
      <c r="M396" s="22">
        <f>tblAnalysis[[#This Row],[Quantity]]*(tblAnalysis[[#This Row],[Unit Price]]-tblAnalysis[[#This Row],[Unit Cost]])</f>
        <v>315</v>
      </c>
    </row>
    <row r="397" spans="1:13">
      <c r="A397" t="s">
        <v>451</v>
      </c>
      <c r="B397" s="1">
        <v>45895</v>
      </c>
      <c r="C397" t="s">
        <v>49</v>
      </c>
      <c r="D397" t="s">
        <v>17</v>
      </c>
      <c r="E397">
        <v>9</v>
      </c>
      <c r="F397" t="str">
        <f>_xlfn.XLOOKUP(tblAnalysis[[#This Row],[Product ID]], tblProducts[Product ID], tblProducts[Product Name])</f>
        <v>Iron</v>
      </c>
      <c r="G397" t="str">
        <f>_xlfn.XLOOKUP(tblAnalysis[[#This Row],[Product ID]], tblProducts[Product ID], tblProducts[Category])</f>
        <v>Home &amp; Living</v>
      </c>
      <c r="H397" s="22">
        <f>_xlfn.XLOOKUP(tblAnalysis[[#This Row],[Product ID]], tblProducts[Product ID], tblProducts[Unit Price])</f>
        <v>35</v>
      </c>
      <c r="I397" s="22">
        <f>_xlfn.XLOOKUP(tblAnalysis[[#This Row],[Product ID]], tblProducts[Product ID], tblProducts[Unit Cost])</f>
        <v>20</v>
      </c>
      <c r="J397" t="str">
        <f>_xlfn.XLOOKUP(tblAnalysis[[#This Row],[Rep ID]], tblReps[Rep ID], tblReps[Sales Rep])</f>
        <v>Emma</v>
      </c>
      <c r="K397" t="str">
        <f>_xlfn.XLOOKUP(tblAnalysis[[#This Row],[Rep ID]], tblReps[Rep ID], tblReps[Region])</f>
        <v>Miami</v>
      </c>
      <c r="L397" s="22">
        <f>tblAnalysis[[#This Row],[Quantity]]*tblAnalysis[[#This Row],[Unit Price]]</f>
        <v>315</v>
      </c>
      <c r="M397" s="22">
        <f>tblAnalysis[[#This Row],[Quantity]]*(tblAnalysis[[#This Row],[Unit Price]]-tblAnalysis[[#This Row],[Unit Cost]])</f>
        <v>135</v>
      </c>
    </row>
    <row r="398" spans="1:13">
      <c r="A398" t="s">
        <v>452</v>
      </c>
      <c r="B398" s="1">
        <v>45896</v>
      </c>
      <c r="C398" t="s">
        <v>33</v>
      </c>
      <c r="D398" t="s">
        <v>5</v>
      </c>
      <c r="E398">
        <v>1</v>
      </c>
      <c r="F398" t="str">
        <f>_xlfn.XLOOKUP(tblAnalysis[[#This Row],[Product ID]], tblProducts[Product ID], tblProducts[Product Name])</f>
        <v>Headset</v>
      </c>
      <c r="G398" t="str">
        <f>_xlfn.XLOOKUP(tblAnalysis[[#This Row],[Product ID]], tblProducts[Product ID], tblProducts[Category])</f>
        <v>Electronics</v>
      </c>
      <c r="H398" s="22">
        <f>_xlfn.XLOOKUP(tblAnalysis[[#This Row],[Product ID]], tblProducts[Product ID], tblProducts[Unit Price])</f>
        <v>75</v>
      </c>
      <c r="I398" s="22">
        <f>_xlfn.XLOOKUP(tblAnalysis[[#This Row],[Product ID]], tblProducts[Product ID], tblProducts[Unit Cost])</f>
        <v>45</v>
      </c>
      <c r="J398" t="str">
        <f>_xlfn.XLOOKUP(tblAnalysis[[#This Row],[Rep ID]], tblReps[Rep ID], tblReps[Sales Rep])</f>
        <v>John</v>
      </c>
      <c r="K398" t="str">
        <f>_xlfn.XLOOKUP(tblAnalysis[[#This Row],[Rep ID]], tblReps[Rep ID], tblReps[Region])</f>
        <v>New York</v>
      </c>
      <c r="L398" s="22">
        <f>tblAnalysis[[#This Row],[Quantity]]*tblAnalysis[[#This Row],[Unit Price]]</f>
        <v>75</v>
      </c>
      <c r="M398" s="22">
        <f>tblAnalysis[[#This Row],[Quantity]]*(tblAnalysis[[#This Row],[Unit Price]]-tblAnalysis[[#This Row],[Unit Cost]])</f>
        <v>30</v>
      </c>
    </row>
    <row r="399" spans="1:13">
      <c r="A399" t="s">
        <v>453</v>
      </c>
      <c r="B399" s="1">
        <v>45896</v>
      </c>
      <c r="C399" t="s">
        <v>45</v>
      </c>
      <c r="D399" t="s">
        <v>12</v>
      </c>
      <c r="E399">
        <v>5</v>
      </c>
      <c r="F399" t="str">
        <f>_xlfn.XLOOKUP(tblAnalysis[[#This Row],[Product ID]], tblProducts[Product ID], tblProducts[Product Name])</f>
        <v>Webcam</v>
      </c>
      <c r="G399" t="str">
        <f>_xlfn.XLOOKUP(tblAnalysis[[#This Row],[Product ID]], tblProducts[Product ID], tblProducts[Category])</f>
        <v>Electronics</v>
      </c>
      <c r="H399" s="22">
        <f>_xlfn.XLOOKUP(tblAnalysis[[#This Row],[Product ID]], tblProducts[Product ID], tblProducts[Unit Price])</f>
        <v>60</v>
      </c>
      <c r="I399" s="22">
        <f>_xlfn.XLOOKUP(tblAnalysis[[#This Row],[Product ID]], tblProducts[Product ID], tblProducts[Unit Cost])</f>
        <v>35</v>
      </c>
      <c r="J399" t="str">
        <f>_xlfn.XLOOKUP(tblAnalysis[[#This Row],[Rep ID]], tblReps[Rep ID], tblReps[Sales Rep])</f>
        <v>David</v>
      </c>
      <c r="K399" t="str">
        <f>_xlfn.XLOOKUP(tblAnalysis[[#This Row],[Rep ID]], tblReps[Rep ID], tblReps[Region])</f>
        <v>Houston</v>
      </c>
      <c r="L399" s="22">
        <f>tblAnalysis[[#This Row],[Quantity]]*tblAnalysis[[#This Row],[Unit Price]]</f>
        <v>300</v>
      </c>
      <c r="M399" s="22">
        <f>tblAnalysis[[#This Row],[Quantity]]*(tblAnalysis[[#This Row],[Unit Price]]-tblAnalysis[[#This Row],[Unit Cost]])</f>
        <v>125</v>
      </c>
    </row>
    <row r="400" spans="1:13">
      <c r="A400" t="s">
        <v>454</v>
      </c>
      <c r="B400" s="1">
        <v>45897</v>
      </c>
      <c r="C400" t="s">
        <v>37</v>
      </c>
      <c r="D400" t="s">
        <v>12</v>
      </c>
      <c r="E400">
        <v>4</v>
      </c>
      <c r="F400" t="str">
        <f>_xlfn.XLOOKUP(tblAnalysis[[#This Row],[Product ID]], tblProducts[Product ID], tblProducts[Product Name])</f>
        <v>Webcam</v>
      </c>
      <c r="G400" t="str">
        <f>_xlfn.XLOOKUP(tblAnalysis[[#This Row],[Product ID]], tblProducts[Product ID], tblProducts[Category])</f>
        <v>Electronics</v>
      </c>
      <c r="H400" s="22">
        <f>_xlfn.XLOOKUP(tblAnalysis[[#This Row],[Product ID]], tblProducts[Product ID], tblProducts[Unit Price])</f>
        <v>60</v>
      </c>
      <c r="I400" s="22">
        <f>_xlfn.XLOOKUP(tblAnalysis[[#This Row],[Product ID]], tblProducts[Product ID], tblProducts[Unit Cost])</f>
        <v>35</v>
      </c>
      <c r="J400" t="str">
        <f>_xlfn.XLOOKUP(tblAnalysis[[#This Row],[Rep ID]], tblReps[Rep ID], tblReps[Sales Rep])</f>
        <v>Mike</v>
      </c>
      <c r="K400" t="str">
        <f>_xlfn.XLOOKUP(tblAnalysis[[#This Row],[Rep ID]], tblReps[Rep ID], tblReps[Region])</f>
        <v>Los Angeles</v>
      </c>
      <c r="L400" s="22">
        <f>tblAnalysis[[#This Row],[Quantity]]*tblAnalysis[[#This Row],[Unit Price]]</f>
        <v>240</v>
      </c>
      <c r="M400" s="22">
        <f>tblAnalysis[[#This Row],[Quantity]]*(tblAnalysis[[#This Row],[Unit Price]]-tblAnalysis[[#This Row],[Unit Cost]])</f>
        <v>100</v>
      </c>
    </row>
    <row r="401" spans="1:13">
      <c r="A401" t="s">
        <v>455</v>
      </c>
      <c r="B401" s="1">
        <v>45898</v>
      </c>
      <c r="C401" t="s">
        <v>49</v>
      </c>
      <c r="D401" t="s">
        <v>12</v>
      </c>
      <c r="E401">
        <v>8</v>
      </c>
      <c r="F401" t="str">
        <f>_xlfn.XLOOKUP(tblAnalysis[[#This Row],[Product ID]], tblProducts[Product ID], tblProducts[Product Name])</f>
        <v>Webcam</v>
      </c>
      <c r="G401" t="str">
        <f>_xlfn.XLOOKUP(tblAnalysis[[#This Row],[Product ID]], tblProducts[Product ID], tblProducts[Category])</f>
        <v>Electronics</v>
      </c>
      <c r="H401" s="22">
        <f>_xlfn.XLOOKUP(tblAnalysis[[#This Row],[Product ID]], tblProducts[Product ID], tblProducts[Unit Price])</f>
        <v>60</v>
      </c>
      <c r="I401" s="22">
        <f>_xlfn.XLOOKUP(tblAnalysis[[#This Row],[Product ID]], tblProducts[Product ID], tblProducts[Unit Cost])</f>
        <v>35</v>
      </c>
      <c r="J401" t="str">
        <f>_xlfn.XLOOKUP(tblAnalysis[[#This Row],[Rep ID]], tblReps[Rep ID], tblReps[Sales Rep])</f>
        <v>Emma</v>
      </c>
      <c r="K401" t="str">
        <f>_xlfn.XLOOKUP(tblAnalysis[[#This Row],[Rep ID]], tblReps[Rep ID], tblReps[Region])</f>
        <v>Miami</v>
      </c>
      <c r="L401" s="22">
        <f>tblAnalysis[[#This Row],[Quantity]]*tblAnalysis[[#This Row],[Unit Price]]</f>
        <v>480</v>
      </c>
      <c r="M401" s="22">
        <f>tblAnalysis[[#This Row],[Quantity]]*(tblAnalysis[[#This Row],[Unit Price]]-tblAnalysis[[#This Row],[Unit Cost]])</f>
        <v>200</v>
      </c>
    </row>
    <row r="402" spans="1:13">
      <c r="A402" t="s">
        <v>456</v>
      </c>
      <c r="B402" s="1">
        <v>45899</v>
      </c>
      <c r="C402" t="s">
        <v>33</v>
      </c>
      <c r="D402" t="s">
        <v>19</v>
      </c>
      <c r="E402">
        <v>5</v>
      </c>
      <c r="F402" t="str">
        <f>_xlfn.XLOOKUP(tblAnalysis[[#This Row],[Product ID]], tblProducts[Product ID], tblProducts[Product Name])</f>
        <v>Fan</v>
      </c>
      <c r="G402" t="str">
        <f>_xlfn.XLOOKUP(tblAnalysis[[#This Row],[Product ID]], tblProducts[Product ID], tblProducts[Category])</f>
        <v>Home &amp; Living</v>
      </c>
      <c r="H402" s="22">
        <f>_xlfn.XLOOKUP(tblAnalysis[[#This Row],[Product ID]], tblProducts[Product ID], tblProducts[Unit Price])</f>
        <v>45</v>
      </c>
      <c r="I402" s="22">
        <f>_xlfn.XLOOKUP(tblAnalysis[[#This Row],[Product ID]], tblProducts[Product ID], tblProducts[Unit Cost])</f>
        <v>25</v>
      </c>
      <c r="J402" t="str">
        <f>_xlfn.XLOOKUP(tblAnalysis[[#This Row],[Rep ID]], tblReps[Rep ID], tblReps[Sales Rep])</f>
        <v>John</v>
      </c>
      <c r="K402" t="str">
        <f>_xlfn.XLOOKUP(tblAnalysis[[#This Row],[Rep ID]], tblReps[Rep ID], tblReps[Region])</f>
        <v>New York</v>
      </c>
      <c r="L402" s="22">
        <f>tblAnalysis[[#This Row],[Quantity]]*tblAnalysis[[#This Row],[Unit Price]]</f>
        <v>225</v>
      </c>
      <c r="M402" s="22">
        <f>tblAnalysis[[#This Row],[Quantity]]*(tblAnalysis[[#This Row],[Unit Price]]-tblAnalysis[[#This Row],[Unit Cost]])</f>
        <v>100</v>
      </c>
    </row>
    <row r="403" spans="1:13">
      <c r="A403" t="s">
        <v>457</v>
      </c>
      <c r="B403" s="1">
        <v>45899</v>
      </c>
      <c r="C403" t="s">
        <v>41</v>
      </c>
      <c r="D403" t="s">
        <v>17</v>
      </c>
      <c r="E403">
        <v>6</v>
      </c>
      <c r="F403" t="str">
        <f>_xlfn.XLOOKUP(tblAnalysis[[#This Row],[Product ID]], tblProducts[Product ID], tblProducts[Product Name])</f>
        <v>Iron</v>
      </c>
      <c r="G403" t="str">
        <f>_xlfn.XLOOKUP(tblAnalysis[[#This Row],[Product ID]], tblProducts[Product ID], tblProducts[Category])</f>
        <v>Home &amp; Living</v>
      </c>
      <c r="H403" s="22">
        <f>_xlfn.XLOOKUP(tblAnalysis[[#This Row],[Product ID]], tblProducts[Product ID], tblProducts[Unit Price])</f>
        <v>35</v>
      </c>
      <c r="I403" s="22">
        <f>_xlfn.XLOOKUP(tblAnalysis[[#This Row],[Product ID]], tblProducts[Product ID], tblProducts[Unit Cost])</f>
        <v>20</v>
      </c>
      <c r="J403" t="str">
        <f>_xlfn.XLOOKUP(tblAnalysis[[#This Row],[Rep ID]], tblReps[Rep ID], tblReps[Sales Rep])</f>
        <v>Sarah</v>
      </c>
      <c r="K403" t="str">
        <f>_xlfn.XLOOKUP(tblAnalysis[[#This Row],[Rep ID]], tblReps[Rep ID], tblReps[Region])</f>
        <v>Chicago</v>
      </c>
      <c r="L403" s="22">
        <f>tblAnalysis[[#This Row],[Quantity]]*tblAnalysis[[#This Row],[Unit Price]]</f>
        <v>210</v>
      </c>
      <c r="M403" s="22">
        <f>tblAnalysis[[#This Row],[Quantity]]*(tblAnalysis[[#This Row],[Unit Price]]-tblAnalysis[[#This Row],[Unit Cost]])</f>
        <v>90</v>
      </c>
    </row>
    <row r="404" spans="1:13">
      <c r="A404" t="s">
        <v>458</v>
      </c>
      <c r="B404" s="1">
        <v>45900</v>
      </c>
      <c r="C404" t="s">
        <v>41</v>
      </c>
      <c r="D404" t="s">
        <v>19</v>
      </c>
      <c r="E404">
        <v>1</v>
      </c>
      <c r="F404" t="str">
        <f>_xlfn.XLOOKUP(tblAnalysis[[#This Row],[Product ID]], tblProducts[Product ID], tblProducts[Product Name])</f>
        <v>Fan</v>
      </c>
      <c r="G404" t="str">
        <f>_xlfn.XLOOKUP(tblAnalysis[[#This Row],[Product ID]], tblProducts[Product ID], tblProducts[Category])</f>
        <v>Home &amp; Living</v>
      </c>
      <c r="H404" s="22">
        <f>_xlfn.XLOOKUP(tblAnalysis[[#This Row],[Product ID]], tblProducts[Product ID], tblProducts[Unit Price])</f>
        <v>45</v>
      </c>
      <c r="I404" s="22">
        <f>_xlfn.XLOOKUP(tblAnalysis[[#This Row],[Product ID]], tblProducts[Product ID], tblProducts[Unit Cost])</f>
        <v>25</v>
      </c>
      <c r="J404" t="str">
        <f>_xlfn.XLOOKUP(tblAnalysis[[#This Row],[Rep ID]], tblReps[Rep ID], tblReps[Sales Rep])</f>
        <v>Sarah</v>
      </c>
      <c r="K404" t="str">
        <f>_xlfn.XLOOKUP(tblAnalysis[[#This Row],[Rep ID]], tblReps[Rep ID], tblReps[Region])</f>
        <v>Chicago</v>
      </c>
      <c r="L404" s="22">
        <f>tblAnalysis[[#This Row],[Quantity]]*tblAnalysis[[#This Row],[Unit Price]]</f>
        <v>45</v>
      </c>
      <c r="M404" s="22">
        <f>tblAnalysis[[#This Row],[Quantity]]*(tblAnalysis[[#This Row],[Unit Price]]-tblAnalysis[[#This Row],[Unit Cost]])</f>
        <v>20</v>
      </c>
    </row>
    <row r="405" spans="1:13">
      <c r="A405" t="s">
        <v>459</v>
      </c>
      <c r="B405" s="1">
        <v>45901</v>
      </c>
      <c r="C405" t="s">
        <v>45</v>
      </c>
      <c r="D405" t="s">
        <v>5</v>
      </c>
      <c r="E405">
        <v>5</v>
      </c>
      <c r="F405" t="str">
        <f>_xlfn.XLOOKUP(tblAnalysis[[#This Row],[Product ID]], tblProducts[Product ID], tblProducts[Product Name])</f>
        <v>Headset</v>
      </c>
      <c r="G405" t="str">
        <f>_xlfn.XLOOKUP(tblAnalysis[[#This Row],[Product ID]], tblProducts[Product ID], tblProducts[Category])</f>
        <v>Electronics</v>
      </c>
      <c r="H405" s="22">
        <f>_xlfn.XLOOKUP(tblAnalysis[[#This Row],[Product ID]], tblProducts[Product ID], tblProducts[Unit Price])</f>
        <v>75</v>
      </c>
      <c r="I405" s="22">
        <f>_xlfn.XLOOKUP(tblAnalysis[[#This Row],[Product ID]], tblProducts[Product ID], tblProducts[Unit Cost])</f>
        <v>45</v>
      </c>
      <c r="J405" t="str">
        <f>_xlfn.XLOOKUP(tblAnalysis[[#This Row],[Rep ID]], tblReps[Rep ID], tblReps[Sales Rep])</f>
        <v>David</v>
      </c>
      <c r="K405" t="str">
        <f>_xlfn.XLOOKUP(tblAnalysis[[#This Row],[Rep ID]], tblReps[Rep ID], tblReps[Region])</f>
        <v>Houston</v>
      </c>
      <c r="L405" s="22">
        <f>tblAnalysis[[#This Row],[Quantity]]*tblAnalysis[[#This Row],[Unit Price]]</f>
        <v>375</v>
      </c>
      <c r="M405" s="22">
        <f>tblAnalysis[[#This Row],[Quantity]]*(tblAnalysis[[#This Row],[Unit Price]]-tblAnalysis[[#This Row],[Unit Cost]])</f>
        <v>150</v>
      </c>
    </row>
    <row r="406" spans="1:13">
      <c r="A406" t="s">
        <v>460</v>
      </c>
      <c r="B406" s="1">
        <v>45903</v>
      </c>
      <c r="C406" t="s">
        <v>41</v>
      </c>
      <c r="D406" t="s">
        <v>26</v>
      </c>
      <c r="E406">
        <v>9</v>
      </c>
      <c r="F406" t="str">
        <f>_xlfn.XLOOKUP(tblAnalysis[[#This Row],[Product ID]], tblProducts[Product ID], tblProducts[Product Name])</f>
        <v>Shoes</v>
      </c>
      <c r="G406" t="str">
        <f>_xlfn.XLOOKUP(tblAnalysis[[#This Row],[Product ID]], tblProducts[Product ID], tblProducts[Category])</f>
        <v>Fashion</v>
      </c>
      <c r="H406" s="22">
        <f>_xlfn.XLOOKUP(tblAnalysis[[#This Row],[Product ID]], tblProducts[Product ID], tblProducts[Unit Price])</f>
        <v>75</v>
      </c>
      <c r="I406" s="22">
        <f>_xlfn.XLOOKUP(tblAnalysis[[#This Row],[Product ID]], tblProducts[Product ID], tblProducts[Unit Cost])</f>
        <v>40</v>
      </c>
      <c r="J406" t="str">
        <f>_xlfn.XLOOKUP(tblAnalysis[[#This Row],[Rep ID]], tblReps[Rep ID], tblReps[Sales Rep])</f>
        <v>Sarah</v>
      </c>
      <c r="K406" t="str">
        <f>_xlfn.XLOOKUP(tblAnalysis[[#This Row],[Rep ID]], tblReps[Rep ID], tblReps[Region])</f>
        <v>Chicago</v>
      </c>
      <c r="L406" s="22">
        <f>tblAnalysis[[#This Row],[Quantity]]*tblAnalysis[[#This Row],[Unit Price]]</f>
        <v>675</v>
      </c>
      <c r="M406" s="22">
        <f>tblAnalysis[[#This Row],[Quantity]]*(tblAnalysis[[#This Row],[Unit Price]]-tblAnalysis[[#This Row],[Unit Cost]])</f>
        <v>315</v>
      </c>
    </row>
    <row r="407" spans="1:13">
      <c r="A407" t="s">
        <v>461</v>
      </c>
      <c r="B407" s="1">
        <v>45903</v>
      </c>
      <c r="C407" t="s">
        <v>37</v>
      </c>
      <c r="D407" t="s">
        <v>17</v>
      </c>
      <c r="E407">
        <v>10</v>
      </c>
      <c r="F407" t="str">
        <f>_xlfn.XLOOKUP(tblAnalysis[[#This Row],[Product ID]], tblProducts[Product ID], tblProducts[Product Name])</f>
        <v>Iron</v>
      </c>
      <c r="G407" t="str">
        <f>_xlfn.XLOOKUP(tblAnalysis[[#This Row],[Product ID]], tblProducts[Product ID], tblProducts[Category])</f>
        <v>Home &amp; Living</v>
      </c>
      <c r="H407" s="22">
        <f>_xlfn.XLOOKUP(tblAnalysis[[#This Row],[Product ID]], tblProducts[Product ID], tblProducts[Unit Price])</f>
        <v>35</v>
      </c>
      <c r="I407" s="22">
        <f>_xlfn.XLOOKUP(tblAnalysis[[#This Row],[Product ID]], tblProducts[Product ID], tblProducts[Unit Cost])</f>
        <v>20</v>
      </c>
      <c r="J407" t="str">
        <f>_xlfn.XLOOKUP(tblAnalysis[[#This Row],[Rep ID]], tblReps[Rep ID], tblReps[Sales Rep])</f>
        <v>Mike</v>
      </c>
      <c r="K407" t="str">
        <f>_xlfn.XLOOKUP(tblAnalysis[[#This Row],[Rep ID]], tblReps[Rep ID], tblReps[Region])</f>
        <v>Los Angeles</v>
      </c>
      <c r="L407" s="22">
        <f>tblAnalysis[[#This Row],[Quantity]]*tblAnalysis[[#This Row],[Unit Price]]</f>
        <v>350</v>
      </c>
      <c r="M407" s="22">
        <f>tblAnalysis[[#This Row],[Quantity]]*(tblAnalysis[[#This Row],[Unit Price]]-tblAnalysis[[#This Row],[Unit Cost]])</f>
        <v>150</v>
      </c>
    </row>
    <row r="408" spans="1:13">
      <c r="A408" t="s">
        <v>462</v>
      </c>
      <c r="B408" s="1">
        <v>45904</v>
      </c>
      <c r="C408" t="s">
        <v>41</v>
      </c>
      <c r="D408" t="s">
        <v>21</v>
      </c>
      <c r="E408">
        <v>2</v>
      </c>
      <c r="F408" t="str">
        <f>_xlfn.XLOOKUP(tblAnalysis[[#This Row],[Product ID]], tblProducts[Product ID], tblProducts[Product Name])</f>
        <v>T-Shirt</v>
      </c>
      <c r="G408" t="str">
        <f>_xlfn.XLOOKUP(tblAnalysis[[#This Row],[Product ID]], tblProducts[Product ID], tblProducts[Category])</f>
        <v>Fashion</v>
      </c>
      <c r="H408" s="22">
        <f>_xlfn.XLOOKUP(tblAnalysis[[#This Row],[Product ID]], tblProducts[Product ID], tblProducts[Unit Price])</f>
        <v>20</v>
      </c>
      <c r="I408" s="22">
        <f>_xlfn.XLOOKUP(tblAnalysis[[#This Row],[Product ID]], tblProducts[Product ID], tblProducts[Unit Cost])</f>
        <v>8</v>
      </c>
      <c r="J408" t="str">
        <f>_xlfn.XLOOKUP(tblAnalysis[[#This Row],[Rep ID]], tblReps[Rep ID], tblReps[Sales Rep])</f>
        <v>Sarah</v>
      </c>
      <c r="K408" t="str">
        <f>_xlfn.XLOOKUP(tblAnalysis[[#This Row],[Rep ID]], tblReps[Rep ID], tblReps[Region])</f>
        <v>Chicago</v>
      </c>
      <c r="L408" s="22">
        <f>tblAnalysis[[#This Row],[Quantity]]*tblAnalysis[[#This Row],[Unit Price]]</f>
        <v>40</v>
      </c>
      <c r="M408" s="22">
        <f>tblAnalysis[[#This Row],[Quantity]]*(tblAnalysis[[#This Row],[Unit Price]]-tblAnalysis[[#This Row],[Unit Cost]])</f>
        <v>24</v>
      </c>
    </row>
    <row r="409" spans="1:13">
      <c r="A409" t="s">
        <v>463</v>
      </c>
      <c r="B409" s="1">
        <v>45904</v>
      </c>
      <c r="C409" t="s">
        <v>45</v>
      </c>
      <c r="D409" t="s">
        <v>26</v>
      </c>
      <c r="E409">
        <v>3</v>
      </c>
      <c r="F409" t="str">
        <f>_xlfn.XLOOKUP(tblAnalysis[[#This Row],[Product ID]], tblProducts[Product ID], tblProducts[Product Name])</f>
        <v>Shoes</v>
      </c>
      <c r="G409" t="str">
        <f>_xlfn.XLOOKUP(tblAnalysis[[#This Row],[Product ID]], tblProducts[Product ID], tblProducts[Category])</f>
        <v>Fashion</v>
      </c>
      <c r="H409" s="22">
        <f>_xlfn.XLOOKUP(tblAnalysis[[#This Row],[Product ID]], tblProducts[Product ID], tblProducts[Unit Price])</f>
        <v>75</v>
      </c>
      <c r="I409" s="22">
        <f>_xlfn.XLOOKUP(tblAnalysis[[#This Row],[Product ID]], tblProducts[Product ID], tblProducts[Unit Cost])</f>
        <v>40</v>
      </c>
      <c r="J409" t="str">
        <f>_xlfn.XLOOKUP(tblAnalysis[[#This Row],[Rep ID]], tblReps[Rep ID], tblReps[Sales Rep])</f>
        <v>David</v>
      </c>
      <c r="K409" t="str">
        <f>_xlfn.XLOOKUP(tblAnalysis[[#This Row],[Rep ID]], tblReps[Rep ID], tblReps[Region])</f>
        <v>Houston</v>
      </c>
      <c r="L409" s="22">
        <f>tblAnalysis[[#This Row],[Quantity]]*tblAnalysis[[#This Row],[Unit Price]]</f>
        <v>225</v>
      </c>
      <c r="M409" s="22">
        <f>tblAnalysis[[#This Row],[Quantity]]*(tblAnalysis[[#This Row],[Unit Price]]-tblAnalysis[[#This Row],[Unit Cost]])</f>
        <v>105</v>
      </c>
    </row>
    <row r="410" spans="1:13">
      <c r="A410" t="s">
        <v>464</v>
      </c>
      <c r="B410" s="1">
        <v>45904</v>
      </c>
      <c r="C410" t="s">
        <v>37</v>
      </c>
      <c r="D410" t="s">
        <v>12</v>
      </c>
      <c r="E410">
        <v>5</v>
      </c>
      <c r="F410" t="str">
        <f>_xlfn.XLOOKUP(tblAnalysis[[#This Row],[Product ID]], tblProducts[Product ID], tblProducts[Product Name])</f>
        <v>Webcam</v>
      </c>
      <c r="G410" t="str">
        <f>_xlfn.XLOOKUP(tblAnalysis[[#This Row],[Product ID]], tblProducts[Product ID], tblProducts[Category])</f>
        <v>Electronics</v>
      </c>
      <c r="H410" s="22">
        <f>_xlfn.XLOOKUP(tblAnalysis[[#This Row],[Product ID]], tblProducts[Product ID], tblProducts[Unit Price])</f>
        <v>60</v>
      </c>
      <c r="I410" s="22">
        <f>_xlfn.XLOOKUP(tblAnalysis[[#This Row],[Product ID]], tblProducts[Product ID], tblProducts[Unit Cost])</f>
        <v>35</v>
      </c>
      <c r="J410" t="str">
        <f>_xlfn.XLOOKUP(tblAnalysis[[#This Row],[Rep ID]], tblReps[Rep ID], tblReps[Sales Rep])</f>
        <v>Mike</v>
      </c>
      <c r="K410" t="str">
        <f>_xlfn.XLOOKUP(tblAnalysis[[#This Row],[Rep ID]], tblReps[Rep ID], tblReps[Region])</f>
        <v>Los Angeles</v>
      </c>
      <c r="L410" s="22">
        <f>tblAnalysis[[#This Row],[Quantity]]*tblAnalysis[[#This Row],[Unit Price]]</f>
        <v>300</v>
      </c>
      <c r="M410" s="22">
        <f>tblAnalysis[[#This Row],[Quantity]]*(tblAnalysis[[#This Row],[Unit Price]]-tblAnalysis[[#This Row],[Unit Cost]])</f>
        <v>125</v>
      </c>
    </row>
    <row r="411" spans="1:13">
      <c r="A411" t="s">
        <v>465</v>
      </c>
      <c r="B411" s="1">
        <v>45904</v>
      </c>
      <c r="C411" t="s">
        <v>49</v>
      </c>
      <c r="D411" t="s">
        <v>10</v>
      </c>
      <c r="E411">
        <v>10</v>
      </c>
      <c r="F411" t="str">
        <f>_xlfn.XLOOKUP(tblAnalysis[[#This Row],[Product ID]], tblProducts[Product ID], tblProducts[Product Name])</f>
        <v>Keyboard</v>
      </c>
      <c r="G411" t="str">
        <f>_xlfn.XLOOKUP(tblAnalysis[[#This Row],[Product ID]], tblProducts[Product ID], tblProducts[Category])</f>
        <v>Electronics</v>
      </c>
      <c r="H411" s="22">
        <f>_xlfn.XLOOKUP(tblAnalysis[[#This Row],[Product ID]], tblProducts[Product ID], tblProducts[Unit Price])</f>
        <v>40</v>
      </c>
      <c r="I411" s="22">
        <f>_xlfn.XLOOKUP(tblAnalysis[[#This Row],[Product ID]], tblProducts[Product ID], tblProducts[Unit Cost])</f>
        <v>22</v>
      </c>
      <c r="J411" t="str">
        <f>_xlfn.XLOOKUP(tblAnalysis[[#This Row],[Rep ID]], tblReps[Rep ID], tblReps[Sales Rep])</f>
        <v>Emma</v>
      </c>
      <c r="K411" t="str">
        <f>_xlfn.XLOOKUP(tblAnalysis[[#This Row],[Rep ID]], tblReps[Rep ID], tblReps[Region])</f>
        <v>Miami</v>
      </c>
      <c r="L411" s="22">
        <f>tblAnalysis[[#This Row],[Quantity]]*tblAnalysis[[#This Row],[Unit Price]]</f>
        <v>400</v>
      </c>
      <c r="M411" s="22">
        <f>tblAnalysis[[#This Row],[Quantity]]*(tblAnalysis[[#This Row],[Unit Price]]-tblAnalysis[[#This Row],[Unit Cost]])</f>
        <v>180</v>
      </c>
    </row>
    <row r="412" spans="1:13">
      <c r="A412" t="s">
        <v>466</v>
      </c>
      <c r="B412" s="1">
        <v>45906</v>
      </c>
      <c r="C412" t="s">
        <v>37</v>
      </c>
      <c r="D412" t="s">
        <v>17</v>
      </c>
      <c r="E412">
        <v>2</v>
      </c>
      <c r="F412" t="str">
        <f>_xlfn.XLOOKUP(tblAnalysis[[#This Row],[Product ID]], tblProducts[Product ID], tblProducts[Product Name])</f>
        <v>Iron</v>
      </c>
      <c r="G412" t="str">
        <f>_xlfn.XLOOKUP(tblAnalysis[[#This Row],[Product ID]], tblProducts[Product ID], tblProducts[Category])</f>
        <v>Home &amp; Living</v>
      </c>
      <c r="H412" s="22">
        <f>_xlfn.XLOOKUP(tblAnalysis[[#This Row],[Product ID]], tblProducts[Product ID], tblProducts[Unit Price])</f>
        <v>35</v>
      </c>
      <c r="I412" s="22">
        <f>_xlfn.XLOOKUP(tblAnalysis[[#This Row],[Product ID]], tblProducts[Product ID], tblProducts[Unit Cost])</f>
        <v>20</v>
      </c>
      <c r="J412" t="str">
        <f>_xlfn.XLOOKUP(tblAnalysis[[#This Row],[Rep ID]], tblReps[Rep ID], tblReps[Sales Rep])</f>
        <v>Mike</v>
      </c>
      <c r="K412" t="str">
        <f>_xlfn.XLOOKUP(tblAnalysis[[#This Row],[Rep ID]], tblReps[Rep ID], tblReps[Region])</f>
        <v>Los Angeles</v>
      </c>
      <c r="L412" s="22">
        <f>tblAnalysis[[#This Row],[Quantity]]*tblAnalysis[[#This Row],[Unit Price]]</f>
        <v>70</v>
      </c>
      <c r="M412" s="22">
        <f>tblAnalysis[[#This Row],[Quantity]]*(tblAnalysis[[#This Row],[Unit Price]]-tblAnalysis[[#This Row],[Unit Cost]])</f>
        <v>30</v>
      </c>
    </row>
    <row r="413" spans="1:13">
      <c r="A413" t="s">
        <v>467</v>
      </c>
      <c r="B413" s="1">
        <v>45907</v>
      </c>
      <c r="C413" t="s">
        <v>49</v>
      </c>
      <c r="D413" t="s">
        <v>5</v>
      </c>
      <c r="E413">
        <v>6</v>
      </c>
      <c r="F413" t="str">
        <f>_xlfn.XLOOKUP(tblAnalysis[[#This Row],[Product ID]], tblProducts[Product ID], tblProducts[Product Name])</f>
        <v>Headset</v>
      </c>
      <c r="G413" t="str">
        <f>_xlfn.XLOOKUP(tblAnalysis[[#This Row],[Product ID]], tblProducts[Product ID], tblProducts[Category])</f>
        <v>Electronics</v>
      </c>
      <c r="H413" s="22">
        <f>_xlfn.XLOOKUP(tblAnalysis[[#This Row],[Product ID]], tblProducts[Product ID], tblProducts[Unit Price])</f>
        <v>75</v>
      </c>
      <c r="I413" s="22">
        <f>_xlfn.XLOOKUP(tblAnalysis[[#This Row],[Product ID]], tblProducts[Product ID], tblProducts[Unit Cost])</f>
        <v>45</v>
      </c>
      <c r="J413" t="str">
        <f>_xlfn.XLOOKUP(tblAnalysis[[#This Row],[Rep ID]], tblReps[Rep ID], tblReps[Sales Rep])</f>
        <v>Emma</v>
      </c>
      <c r="K413" t="str">
        <f>_xlfn.XLOOKUP(tblAnalysis[[#This Row],[Rep ID]], tblReps[Rep ID], tblReps[Region])</f>
        <v>Miami</v>
      </c>
      <c r="L413" s="22">
        <f>tblAnalysis[[#This Row],[Quantity]]*tblAnalysis[[#This Row],[Unit Price]]</f>
        <v>450</v>
      </c>
      <c r="M413" s="22">
        <f>tblAnalysis[[#This Row],[Quantity]]*(tblAnalysis[[#This Row],[Unit Price]]-tblAnalysis[[#This Row],[Unit Cost]])</f>
        <v>180</v>
      </c>
    </row>
    <row r="414" spans="1:13">
      <c r="A414" t="s">
        <v>468</v>
      </c>
      <c r="B414" s="1">
        <v>45907</v>
      </c>
      <c r="C414" t="s">
        <v>45</v>
      </c>
      <c r="D414" t="s">
        <v>10</v>
      </c>
      <c r="E414">
        <v>4</v>
      </c>
      <c r="F414" t="str">
        <f>_xlfn.XLOOKUP(tblAnalysis[[#This Row],[Product ID]], tblProducts[Product ID], tblProducts[Product Name])</f>
        <v>Keyboard</v>
      </c>
      <c r="G414" t="str">
        <f>_xlfn.XLOOKUP(tblAnalysis[[#This Row],[Product ID]], tblProducts[Product ID], tblProducts[Category])</f>
        <v>Electronics</v>
      </c>
      <c r="H414" s="22">
        <f>_xlfn.XLOOKUP(tblAnalysis[[#This Row],[Product ID]], tblProducts[Product ID], tblProducts[Unit Price])</f>
        <v>40</v>
      </c>
      <c r="I414" s="22">
        <f>_xlfn.XLOOKUP(tblAnalysis[[#This Row],[Product ID]], tblProducts[Product ID], tblProducts[Unit Cost])</f>
        <v>22</v>
      </c>
      <c r="J414" t="str">
        <f>_xlfn.XLOOKUP(tblAnalysis[[#This Row],[Rep ID]], tblReps[Rep ID], tblReps[Sales Rep])</f>
        <v>David</v>
      </c>
      <c r="K414" t="str">
        <f>_xlfn.XLOOKUP(tblAnalysis[[#This Row],[Rep ID]], tblReps[Rep ID], tblReps[Region])</f>
        <v>Houston</v>
      </c>
      <c r="L414" s="22">
        <f>tblAnalysis[[#This Row],[Quantity]]*tblAnalysis[[#This Row],[Unit Price]]</f>
        <v>160</v>
      </c>
      <c r="M414" s="22">
        <f>tblAnalysis[[#This Row],[Quantity]]*(tblAnalysis[[#This Row],[Unit Price]]-tblAnalysis[[#This Row],[Unit Cost]])</f>
        <v>72</v>
      </c>
    </row>
    <row r="415" spans="1:13">
      <c r="A415" t="s">
        <v>469</v>
      </c>
      <c r="B415" s="1">
        <v>45909</v>
      </c>
      <c r="C415" t="s">
        <v>33</v>
      </c>
      <c r="D415" t="s">
        <v>10</v>
      </c>
      <c r="E415">
        <v>4</v>
      </c>
      <c r="F415" t="str">
        <f>_xlfn.XLOOKUP(tblAnalysis[[#This Row],[Product ID]], tblProducts[Product ID], tblProducts[Product Name])</f>
        <v>Keyboard</v>
      </c>
      <c r="G415" t="str">
        <f>_xlfn.XLOOKUP(tblAnalysis[[#This Row],[Product ID]], tblProducts[Product ID], tblProducts[Category])</f>
        <v>Electronics</v>
      </c>
      <c r="H415" s="22">
        <f>_xlfn.XLOOKUP(tblAnalysis[[#This Row],[Product ID]], tblProducts[Product ID], tblProducts[Unit Price])</f>
        <v>40</v>
      </c>
      <c r="I415" s="22">
        <f>_xlfn.XLOOKUP(tblAnalysis[[#This Row],[Product ID]], tblProducts[Product ID], tblProducts[Unit Cost])</f>
        <v>22</v>
      </c>
      <c r="J415" t="str">
        <f>_xlfn.XLOOKUP(tblAnalysis[[#This Row],[Rep ID]], tblReps[Rep ID], tblReps[Sales Rep])</f>
        <v>John</v>
      </c>
      <c r="K415" t="str">
        <f>_xlfn.XLOOKUP(tblAnalysis[[#This Row],[Rep ID]], tblReps[Rep ID], tblReps[Region])</f>
        <v>New York</v>
      </c>
      <c r="L415" s="22">
        <f>tblAnalysis[[#This Row],[Quantity]]*tblAnalysis[[#This Row],[Unit Price]]</f>
        <v>160</v>
      </c>
      <c r="M415" s="22">
        <f>tblAnalysis[[#This Row],[Quantity]]*(tblAnalysis[[#This Row],[Unit Price]]-tblAnalysis[[#This Row],[Unit Cost]])</f>
        <v>72</v>
      </c>
    </row>
    <row r="416" spans="1:13">
      <c r="A416" t="s">
        <v>470</v>
      </c>
      <c r="B416" s="1">
        <v>45909</v>
      </c>
      <c r="C416" t="s">
        <v>45</v>
      </c>
      <c r="D416" t="s">
        <v>26</v>
      </c>
      <c r="E416">
        <v>3</v>
      </c>
      <c r="F416" t="str">
        <f>_xlfn.XLOOKUP(tblAnalysis[[#This Row],[Product ID]], tblProducts[Product ID], tblProducts[Product Name])</f>
        <v>Shoes</v>
      </c>
      <c r="G416" t="str">
        <f>_xlfn.XLOOKUP(tblAnalysis[[#This Row],[Product ID]], tblProducts[Product ID], tblProducts[Category])</f>
        <v>Fashion</v>
      </c>
      <c r="H416" s="22">
        <f>_xlfn.XLOOKUP(tblAnalysis[[#This Row],[Product ID]], tblProducts[Product ID], tblProducts[Unit Price])</f>
        <v>75</v>
      </c>
      <c r="I416" s="22">
        <f>_xlfn.XLOOKUP(tblAnalysis[[#This Row],[Product ID]], tblProducts[Product ID], tblProducts[Unit Cost])</f>
        <v>40</v>
      </c>
      <c r="J416" t="str">
        <f>_xlfn.XLOOKUP(tblAnalysis[[#This Row],[Rep ID]], tblReps[Rep ID], tblReps[Sales Rep])</f>
        <v>David</v>
      </c>
      <c r="K416" t="str">
        <f>_xlfn.XLOOKUP(tblAnalysis[[#This Row],[Rep ID]], tblReps[Rep ID], tblReps[Region])</f>
        <v>Houston</v>
      </c>
      <c r="L416" s="22">
        <f>tblAnalysis[[#This Row],[Quantity]]*tblAnalysis[[#This Row],[Unit Price]]</f>
        <v>225</v>
      </c>
      <c r="M416" s="22">
        <f>tblAnalysis[[#This Row],[Quantity]]*(tblAnalysis[[#This Row],[Unit Price]]-tblAnalysis[[#This Row],[Unit Cost]])</f>
        <v>105</v>
      </c>
    </row>
    <row r="417" spans="1:13">
      <c r="A417" t="s">
        <v>471</v>
      </c>
      <c r="B417" s="1">
        <v>45909</v>
      </c>
      <c r="C417" t="s">
        <v>45</v>
      </c>
      <c r="D417" t="s">
        <v>8</v>
      </c>
      <c r="E417">
        <v>3</v>
      </c>
      <c r="F417" t="str">
        <f>_xlfn.XLOOKUP(tblAnalysis[[#This Row],[Product ID]], tblProducts[Product ID], tblProducts[Product Name])</f>
        <v>Mouse</v>
      </c>
      <c r="G417" t="str">
        <f>_xlfn.XLOOKUP(tblAnalysis[[#This Row],[Product ID]], tblProducts[Product ID], tblProducts[Category])</f>
        <v>Electronics</v>
      </c>
      <c r="H417" s="22">
        <f>_xlfn.XLOOKUP(tblAnalysis[[#This Row],[Product ID]], tblProducts[Product ID], tblProducts[Unit Price])</f>
        <v>25</v>
      </c>
      <c r="I417" s="22">
        <f>_xlfn.XLOOKUP(tblAnalysis[[#This Row],[Product ID]], tblProducts[Product ID], tblProducts[Unit Cost])</f>
        <v>12</v>
      </c>
      <c r="J417" t="str">
        <f>_xlfn.XLOOKUP(tblAnalysis[[#This Row],[Rep ID]], tblReps[Rep ID], tblReps[Sales Rep])</f>
        <v>David</v>
      </c>
      <c r="K417" t="str">
        <f>_xlfn.XLOOKUP(tblAnalysis[[#This Row],[Rep ID]], tblReps[Rep ID], tblReps[Region])</f>
        <v>Houston</v>
      </c>
      <c r="L417" s="22">
        <f>tblAnalysis[[#This Row],[Quantity]]*tblAnalysis[[#This Row],[Unit Price]]</f>
        <v>75</v>
      </c>
      <c r="M417" s="22">
        <f>tblAnalysis[[#This Row],[Quantity]]*(tblAnalysis[[#This Row],[Unit Price]]-tblAnalysis[[#This Row],[Unit Cost]])</f>
        <v>39</v>
      </c>
    </row>
    <row r="418" spans="1:13">
      <c r="A418" t="s">
        <v>472</v>
      </c>
      <c r="B418" s="1">
        <v>45909</v>
      </c>
      <c r="C418" t="s">
        <v>37</v>
      </c>
      <c r="D418" t="s">
        <v>10</v>
      </c>
      <c r="E418">
        <v>5</v>
      </c>
      <c r="F418" t="str">
        <f>_xlfn.XLOOKUP(tblAnalysis[[#This Row],[Product ID]], tblProducts[Product ID], tblProducts[Product Name])</f>
        <v>Keyboard</v>
      </c>
      <c r="G418" t="str">
        <f>_xlfn.XLOOKUP(tblAnalysis[[#This Row],[Product ID]], tblProducts[Product ID], tblProducts[Category])</f>
        <v>Electronics</v>
      </c>
      <c r="H418" s="22">
        <f>_xlfn.XLOOKUP(tblAnalysis[[#This Row],[Product ID]], tblProducts[Product ID], tblProducts[Unit Price])</f>
        <v>40</v>
      </c>
      <c r="I418" s="22">
        <f>_xlfn.XLOOKUP(tblAnalysis[[#This Row],[Product ID]], tblProducts[Product ID], tblProducts[Unit Cost])</f>
        <v>22</v>
      </c>
      <c r="J418" t="str">
        <f>_xlfn.XLOOKUP(tblAnalysis[[#This Row],[Rep ID]], tblReps[Rep ID], tblReps[Sales Rep])</f>
        <v>Mike</v>
      </c>
      <c r="K418" t="str">
        <f>_xlfn.XLOOKUP(tblAnalysis[[#This Row],[Rep ID]], tblReps[Rep ID], tblReps[Region])</f>
        <v>Los Angeles</v>
      </c>
      <c r="L418" s="22">
        <f>tblAnalysis[[#This Row],[Quantity]]*tblAnalysis[[#This Row],[Unit Price]]</f>
        <v>200</v>
      </c>
      <c r="M418" s="22">
        <f>tblAnalysis[[#This Row],[Quantity]]*(tblAnalysis[[#This Row],[Unit Price]]-tblAnalysis[[#This Row],[Unit Cost]])</f>
        <v>90</v>
      </c>
    </row>
    <row r="419" spans="1:13">
      <c r="A419" t="s">
        <v>473</v>
      </c>
      <c r="B419" s="1">
        <v>45910</v>
      </c>
      <c r="C419" t="s">
        <v>33</v>
      </c>
      <c r="D419" t="s">
        <v>12</v>
      </c>
      <c r="E419">
        <v>6</v>
      </c>
      <c r="F419" t="str">
        <f>_xlfn.XLOOKUP(tblAnalysis[[#This Row],[Product ID]], tblProducts[Product ID], tblProducts[Product Name])</f>
        <v>Webcam</v>
      </c>
      <c r="G419" t="str">
        <f>_xlfn.XLOOKUP(tblAnalysis[[#This Row],[Product ID]], tblProducts[Product ID], tblProducts[Category])</f>
        <v>Electronics</v>
      </c>
      <c r="H419" s="22">
        <f>_xlfn.XLOOKUP(tblAnalysis[[#This Row],[Product ID]], tblProducts[Product ID], tblProducts[Unit Price])</f>
        <v>60</v>
      </c>
      <c r="I419" s="22">
        <f>_xlfn.XLOOKUP(tblAnalysis[[#This Row],[Product ID]], tblProducts[Product ID], tblProducts[Unit Cost])</f>
        <v>35</v>
      </c>
      <c r="J419" t="str">
        <f>_xlfn.XLOOKUP(tblAnalysis[[#This Row],[Rep ID]], tblReps[Rep ID], tblReps[Sales Rep])</f>
        <v>John</v>
      </c>
      <c r="K419" t="str">
        <f>_xlfn.XLOOKUP(tblAnalysis[[#This Row],[Rep ID]], tblReps[Rep ID], tblReps[Region])</f>
        <v>New York</v>
      </c>
      <c r="L419" s="22">
        <f>tblAnalysis[[#This Row],[Quantity]]*tblAnalysis[[#This Row],[Unit Price]]</f>
        <v>360</v>
      </c>
      <c r="M419" s="22">
        <f>tblAnalysis[[#This Row],[Quantity]]*(tblAnalysis[[#This Row],[Unit Price]]-tblAnalysis[[#This Row],[Unit Cost]])</f>
        <v>150</v>
      </c>
    </row>
    <row r="420" spans="1:13">
      <c r="A420" t="s">
        <v>474</v>
      </c>
      <c r="B420" s="1">
        <v>45910</v>
      </c>
      <c r="C420" t="s">
        <v>45</v>
      </c>
      <c r="D420" t="s">
        <v>17</v>
      </c>
      <c r="E420">
        <v>6</v>
      </c>
      <c r="F420" t="str">
        <f>_xlfn.XLOOKUP(tblAnalysis[[#This Row],[Product ID]], tblProducts[Product ID], tblProducts[Product Name])</f>
        <v>Iron</v>
      </c>
      <c r="G420" t="str">
        <f>_xlfn.XLOOKUP(tblAnalysis[[#This Row],[Product ID]], tblProducts[Product ID], tblProducts[Category])</f>
        <v>Home &amp; Living</v>
      </c>
      <c r="H420" s="22">
        <f>_xlfn.XLOOKUP(tblAnalysis[[#This Row],[Product ID]], tblProducts[Product ID], tblProducts[Unit Price])</f>
        <v>35</v>
      </c>
      <c r="I420" s="22">
        <f>_xlfn.XLOOKUP(tblAnalysis[[#This Row],[Product ID]], tblProducts[Product ID], tblProducts[Unit Cost])</f>
        <v>20</v>
      </c>
      <c r="J420" t="str">
        <f>_xlfn.XLOOKUP(tblAnalysis[[#This Row],[Rep ID]], tblReps[Rep ID], tblReps[Sales Rep])</f>
        <v>David</v>
      </c>
      <c r="K420" t="str">
        <f>_xlfn.XLOOKUP(tblAnalysis[[#This Row],[Rep ID]], tblReps[Rep ID], tblReps[Region])</f>
        <v>Houston</v>
      </c>
      <c r="L420" s="22">
        <f>tblAnalysis[[#This Row],[Quantity]]*tblAnalysis[[#This Row],[Unit Price]]</f>
        <v>210</v>
      </c>
      <c r="M420" s="22">
        <f>tblAnalysis[[#This Row],[Quantity]]*(tblAnalysis[[#This Row],[Unit Price]]-tblAnalysis[[#This Row],[Unit Cost]])</f>
        <v>90</v>
      </c>
    </row>
    <row r="421" spans="1:13">
      <c r="A421" t="s">
        <v>475</v>
      </c>
      <c r="B421" s="1">
        <v>45910</v>
      </c>
      <c r="C421" t="s">
        <v>45</v>
      </c>
      <c r="D421" t="s">
        <v>8</v>
      </c>
      <c r="E421">
        <v>7</v>
      </c>
      <c r="F421" t="str">
        <f>_xlfn.XLOOKUP(tblAnalysis[[#This Row],[Product ID]], tblProducts[Product ID], tblProducts[Product Name])</f>
        <v>Mouse</v>
      </c>
      <c r="G421" t="str">
        <f>_xlfn.XLOOKUP(tblAnalysis[[#This Row],[Product ID]], tblProducts[Product ID], tblProducts[Category])</f>
        <v>Electronics</v>
      </c>
      <c r="H421" s="22">
        <f>_xlfn.XLOOKUP(tblAnalysis[[#This Row],[Product ID]], tblProducts[Product ID], tblProducts[Unit Price])</f>
        <v>25</v>
      </c>
      <c r="I421" s="22">
        <f>_xlfn.XLOOKUP(tblAnalysis[[#This Row],[Product ID]], tblProducts[Product ID], tblProducts[Unit Cost])</f>
        <v>12</v>
      </c>
      <c r="J421" t="str">
        <f>_xlfn.XLOOKUP(tblAnalysis[[#This Row],[Rep ID]], tblReps[Rep ID], tblReps[Sales Rep])</f>
        <v>David</v>
      </c>
      <c r="K421" t="str">
        <f>_xlfn.XLOOKUP(tblAnalysis[[#This Row],[Rep ID]], tblReps[Rep ID], tblReps[Region])</f>
        <v>Houston</v>
      </c>
      <c r="L421" s="22">
        <f>tblAnalysis[[#This Row],[Quantity]]*tblAnalysis[[#This Row],[Unit Price]]</f>
        <v>175</v>
      </c>
      <c r="M421" s="22">
        <f>tblAnalysis[[#This Row],[Quantity]]*(tblAnalysis[[#This Row],[Unit Price]]-tblAnalysis[[#This Row],[Unit Cost]])</f>
        <v>91</v>
      </c>
    </row>
    <row r="422" spans="1:13">
      <c r="A422" t="s">
        <v>476</v>
      </c>
      <c r="B422" s="1">
        <v>45911</v>
      </c>
      <c r="C422" t="s">
        <v>33</v>
      </c>
      <c r="D422" t="s">
        <v>24</v>
      </c>
      <c r="E422">
        <v>3</v>
      </c>
      <c r="F422" t="str">
        <f>_xlfn.XLOOKUP(tblAnalysis[[#This Row],[Product ID]], tblProducts[Product ID], tblProducts[Product Name])</f>
        <v>Pants</v>
      </c>
      <c r="G422" t="str">
        <f>_xlfn.XLOOKUP(tblAnalysis[[#This Row],[Product ID]], tblProducts[Product ID], tblProducts[Category])</f>
        <v>Fashion</v>
      </c>
      <c r="H422" s="22">
        <f>_xlfn.XLOOKUP(tblAnalysis[[#This Row],[Product ID]], tblProducts[Product ID], tblProducts[Unit Price])</f>
        <v>40</v>
      </c>
      <c r="I422" s="22">
        <f>_xlfn.XLOOKUP(tblAnalysis[[#This Row],[Product ID]], tblProducts[Product ID], tblProducts[Unit Cost])</f>
        <v>18</v>
      </c>
      <c r="J422" t="str">
        <f>_xlfn.XLOOKUP(tblAnalysis[[#This Row],[Rep ID]], tblReps[Rep ID], tblReps[Sales Rep])</f>
        <v>John</v>
      </c>
      <c r="K422" t="str">
        <f>_xlfn.XLOOKUP(tblAnalysis[[#This Row],[Rep ID]], tblReps[Rep ID], tblReps[Region])</f>
        <v>New York</v>
      </c>
      <c r="L422" s="22">
        <f>tblAnalysis[[#This Row],[Quantity]]*tblAnalysis[[#This Row],[Unit Price]]</f>
        <v>120</v>
      </c>
      <c r="M422" s="22">
        <f>tblAnalysis[[#This Row],[Quantity]]*(tblAnalysis[[#This Row],[Unit Price]]-tblAnalysis[[#This Row],[Unit Cost]])</f>
        <v>66</v>
      </c>
    </row>
    <row r="423" spans="1:13">
      <c r="A423" t="s">
        <v>477</v>
      </c>
      <c r="B423" s="1">
        <v>45911</v>
      </c>
      <c r="C423" t="s">
        <v>41</v>
      </c>
      <c r="D423" t="s">
        <v>12</v>
      </c>
      <c r="E423">
        <v>10</v>
      </c>
      <c r="F423" t="str">
        <f>_xlfn.XLOOKUP(tblAnalysis[[#This Row],[Product ID]], tblProducts[Product ID], tblProducts[Product Name])</f>
        <v>Webcam</v>
      </c>
      <c r="G423" t="str">
        <f>_xlfn.XLOOKUP(tblAnalysis[[#This Row],[Product ID]], tblProducts[Product ID], tblProducts[Category])</f>
        <v>Electronics</v>
      </c>
      <c r="H423" s="22">
        <f>_xlfn.XLOOKUP(tblAnalysis[[#This Row],[Product ID]], tblProducts[Product ID], tblProducts[Unit Price])</f>
        <v>60</v>
      </c>
      <c r="I423" s="22">
        <f>_xlfn.XLOOKUP(tblAnalysis[[#This Row],[Product ID]], tblProducts[Product ID], tblProducts[Unit Cost])</f>
        <v>35</v>
      </c>
      <c r="J423" t="str">
        <f>_xlfn.XLOOKUP(tblAnalysis[[#This Row],[Rep ID]], tblReps[Rep ID], tblReps[Sales Rep])</f>
        <v>Sarah</v>
      </c>
      <c r="K423" t="str">
        <f>_xlfn.XLOOKUP(tblAnalysis[[#This Row],[Rep ID]], tblReps[Rep ID], tblReps[Region])</f>
        <v>Chicago</v>
      </c>
      <c r="L423" s="22">
        <f>tblAnalysis[[#This Row],[Quantity]]*tblAnalysis[[#This Row],[Unit Price]]</f>
        <v>600</v>
      </c>
      <c r="M423" s="22">
        <f>tblAnalysis[[#This Row],[Quantity]]*(tblAnalysis[[#This Row],[Unit Price]]-tblAnalysis[[#This Row],[Unit Cost]])</f>
        <v>250</v>
      </c>
    </row>
    <row r="424" spans="1:13">
      <c r="A424" t="s">
        <v>478</v>
      </c>
      <c r="B424" s="1">
        <v>45911</v>
      </c>
      <c r="C424" t="s">
        <v>41</v>
      </c>
      <c r="D424" t="s">
        <v>19</v>
      </c>
      <c r="E424">
        <v>2</v>
      </c>
      <c r="F424" t="str">
        <f>_xlfn.XLOOKUP(tblAnalysis[[#This Row],[Product ID]], tblProducts[Product ID], tblProducts[Product Name])</f>
        <v>Fan</v>
      </c>
      <c r="G424" t="str">
        <f>_xlfn.XLOOKUP(tblAnalysis[[#This Row],[Product ID]], tblProducts[Product ID], tblProducts[Category])</f>
        <v>Home &amp; Living</v>
      </c>
      <c r="H424" s="22">
        <f>_xlfn.XLOOKUP(tblAnalysis[[#This Row],[Product ID]], tblProducts[Product ID], tblProducts[Unit Price])</f>
        <v>45</v>
      </c>
      <c r="I424" s="22">
        <f>_xlfn.XLOOKUP(tblAnalysis[[#This Row],[Product ID]], tblProducts[Product ID], tblProducts[Unit Cost])</f>
        <v>25</v>
      </c>
      <c r="J424" t="str">
        <f>_xlfn.XLOOKUP(tblAnalysis[[#This Row],[Rep ID]], tblReps[Rep ID], tblReps[Sales Rep])</f>
        <v>Sarah</v>
      </c>
      <c r="K424" t="str">
        <f>_xlfn.XLOOKUP(tblAnalysis[[#This Row],[Rep ID]], tblReps[Rep ID], tblReps[Region])</f>
        <v>Chicago</v>
      </c>
      <c r="L424" s="22">
        <f>tblAnalysis[[#This Row],[Quantity]]*tblAnalysis[[#This Row],[Unit Price]]</f>
        <v>90</v>
      </c>
      <c r="M424" s="22">
        <f>tblAnalysis[[#This Row],[Quantity]]*(tblAnalysis[[#This Row],[Unit Price]]-tblAnalysis[[#This Row],[Unit Cost]])</f>
        <v>40</v>
      </c>
    </row>
    <row r="425" spans="1:13">
      <c r="A425" t="s">
        <v>479</v>
      </c>
      <c r="B425" s="1">
        <v>45912</v>
      </c>
      <c r="C425" t="s">
        <v>41</v>
      </c>
      <c r="D425" t="s">
        <v>14</v>
      </c>
      <c r="E425">
        <v>4</v>
      </c>
      <c r="F425" t="str">
        <f>_xlfn.XLOOKUP(tblAnalysis[[#This Row],[Product ID]], tblProducts[Product ID], tblProducts[Product Name])</f>
        <v>Blender</v>
      </c>
      <c r="G425" t="str">
        <f>_xlfn.XLOOKUP(tblAnalysis[[#This Row],[Product ID]], tblProducts[Product ID], tblProducts[Category])</f>
        <v>Home &amp; Living</v>
      </c>
      <c r="H425" s="22">
        <f>_xlfn.XLOOKUP(tblAnalysis[[#This Row],[Product ID]], tblProducts[Product ID], tblProducts[Unit Price])</f>
        <v>50</v>
      </c>
      <c r="I425" s="22">
        <f>_xlfn.XLOOKUP(tblAnalysis[[#This Row],[Product ID]], tblProducts[Product ID], tblProducts[Unit Cost])</f>
        <v>30</v>
      </c>
      <c r="J425" t="str">
        <f>_xlfn.XLOOKUP(tblAnalysis[[#This Row],[Rep ID]], tblReps[Rep ID], tblReps[Sales Rep])</f>
        <v>Sarah</v>
      </c>
      <c r="K425" t="str">
        <f>_xlfn.XLOOKUP(tblAnalysis[[#This Row],[Rep ID]], tblReps[Rep ID], tblReps[Region])</f>
        <v>Chicago</v>
      </c>
      <c r="L425" s="22">
        <f>tblAnalysis[[#This Row],[Quantity]]*tblAnalysis[[#This Row],[Unit Price]]</f>
        <v>200</v>
      </c>
      <c r="M425" s="22">
        <f>tblAnalysis[[#This Row],[Quantity]]*(tblAnalysis[[#This Row],[Unit Price]]-tblAnalysis[[#This Row],[Unit Cost]])</f>
        <v>80</v>
      </c>
    </row>
    <row r="426" spans="1:13">
      <c r="A426" t="s">
        <v>480</v>
      </c>
      <c r="B426" s="1">
        <v>45912</v>
      </c>
      <c r="C426" t="s">
        <v>33</v>
      </c>
      <c r="D426" t="s">
        <v>19</v>
      </c>
      <c r="E426">
        <v>2</v>
      </c>
      <c r="F426" t="str">
        <f>_xlfn.XLOOKUP(tblAnalysis[[#This Row],[Product ID]], tblProducts[Product ID], tblProducts[Product Name])</f>
        <v>Fan</v>
      </c>
      <c r="G426" t="str">
        <f>_xlfn.XLOOKUP(tblAnalysis[[#This Row],[Product ID]], tblProducts[Product ID], tblProducts[Category])</f>
        <v>Home &amp; Living</v>
      </c>
      <c r="H426" s="22">
        <f>_xlfn.XLOOKUP(tblAnalysis[[#This Row],[Product ID]], tblProducts[Product ID], tblProducts[Unit Price])</f>
        <v>45</v>
      </c>
      <c r="I426" s="22">
        <f>_xlfn.XLOOKUP(tblAnalysis[[#This Row],[Product ID]], tblProducts[Product ID], tblProducts[Unit Cost])</f>
        <v>25</v>
      </c>
      <c r="J426" t="str">
        <f>_xlfn.XLOOKUP(tblAnalysis[[#This Row],[Rep ID]], tblReps[Rep ID], tblReps[Sales Rep])</f>
        <v>John</v>
      </c>
      <c r="K426" t="str">
        <f>_xlfn.XLOOKUP(tblAnalysis[[#This Row],[Rep ID]], tblReps[Rep ID], tblReps[Region])</f>
        <v>New York</v>
      </c>
      <c r="L426" s="22">
        <f>tblAnalysis[[#This Row],[Quantity]]*tblAnalysis[[#This Row],[Unit Price]]</f>
        <v>90</v>
      </c>
      <c r="M426" s="22">
        <f>tblAnalysis[[#This Row],[Quantity]]*(tblAnalysis[[#This Row],[Unit Price]]-tblAnalysis[[#This Row],[Unit Cost]])</f>
        <v>40</v>
      </c>
    </row>
    <row r="427" spans="1:13">
      <c r="A427" t="s">
        <v>481</v>
      </c>
      <c r="B427" s="1">
        <v>45913</v>
      </c>
      <c r="C427" t="s">
        <v>41</v>
      </c>
      <c r="D427" t="s">
        <v>5</v>
      </c>
      <c r="E427">
        <v>8</v>
      </c>
      <c r="F427" t="str">
        <f>_xlfn.XLOOKUP(tblAnalysis[[#This Row],[Product ID]], tblProducts[Product ID], tblProducts[Product Name])</f>
        <v>Headset</v>
      </c>
      <c r="G427" t="str">
        <f>_xlfn.XLOOKUP(tblAnalysis[[#This Row],[Product ID]], tblProducts[Product ID], tblProducts[Category])</f>
        <v>Electronics</v>
      </c>
      <c r="H427" s="22">
        <f>_xlfn.XLOOKUP(tblAnalysis[[#This Row],[Product ID]], tblProducts[Product ID], tblProducts[Unit Price])</f>
        <v>75</v>
      </c>
      <c r="I427" s="22">
        <f>_xlfn.XLOOKUP(tblAnalysis[[#This Row],[Product ID]], tblProducts[Product ID], tblProducts[Unit Cost])</f>
        <v>45</v>
      </c>
      <c r="J427" t="str">
        <f>_xlfn.XLOOKUP(tblAnalysis[[#This Row],[Rep ID]], tblReps[Rep ID], tblReps[Sales Rep])</f>
        <v>Sarah</v>
      </c>
      <c r="K427" t="str">
        <f>_xlfn.XLOOKUP(tblAnalysis[[#This Row],[Rep ID]], tblReps[Rep ID], tblReps[Region])</f>
        <v>Chicago</v>
      </c>
      <c r="L427" s="22">
        <f>tblAnalysis[[#This Row],[Quantity]]*tblAnalysis[[#This Row],[Unit Price]]</f>
        <v>600</v>
      </c>
      <c r="M427" s="22">
        <f>tblAnalysis[[#This Row],[Quantity]]*(tblAnalysis[[#This Row],[Unit Price]]-tblAnalysis[[#This Row],[Unit Cost]])</f>
        <v>240</v>
      </c>
    </row>
    <row r="428" spans="1:13">
      <c r="A428" t="s">
        <v>482</v>
      </c>
      <c r="B428" s="1">
        <v>45914</v>
      </c>
      <c r="C428" t="s">
        <v>37</v>
      </c>
      <c r="D428" t="s">
        <v>21</v>
      </c>
      <c r="E428">
        <v>8</v>
      </c>
      <c r="F428" t="str">
        <f>_xlfn.XLOOKUP(tblAnalysis[[#This Row],[Product ID]], tblProducts[Product ID], tblProducts[Product Name])</f>
        <v>T-Shirt</v>
      </c>
      <c r="G428" t="str">
        <f>_xlfn.XLOOKUP(tblAnalysis[[#This Row],[Product ID]], tblProducts[Product ID], tblProducts[Category])</f>
        <v>Fashion</v>
      </c>
      <c r="H428" s="22">
        <f>_xlfn.XLOOKUP(tblAnalysis[[#This Row],[Product ID]], tblProducts[Product ID], tblProducts[Unit Price])</f>
        <v>20</v>
      </c>
      <c r="I428" s="22">
        <f>_xlfn.XLOOKUP(tblAnalysis[[#This Row],[Product ID]], tblProducts[Product ID], tblProducts[Unit Cost])</f>
        <v>8</v>
      </c>
      <c r="J428" t="str">
        <f>_xlfn.XLOOKUP(tblAnalysis[[#This Row],[Rep ID]], tblReps[Rep ID], tblReps[Sales Rep])</f>
        <v>Mike</v>
      </c>
      <c r="K428" t="str">
        <f>_xlfn.XLOOKUP(tblAnalysis[[#This Row],[Rep ID]], tblReps[Rep ID], tblReps[Region])</f>
        <v>Los Angeles</v>
      </c>
      <c r="L428" s="22">
        <f>tblAnalysis[[#This Row],[Quantity]]*tblAnalysis[[#This Row],[Unit Price]]</f>
        <v>160</v>
      </c>
      <c r="M428" s="22">
        <f>tblAnalysis[[#This Row],[Quantity]]*(tblAnalysis[[#This Row],[Unit Price]]-tblAnalysis[[#This Row],[Unit Cost]])</f>
        <v>96</v>
      </c>
    </row>
    <row r="429" spans="1:13">
      <c r="A429" t="s">
        <v>483</v>
      </c>
      <c r="B429" s="1">
        <v>45914</v>
      </c>
      <c r="C429" t="s">
        <v>49</v>
      </c>
      <c r="D429" t="s">
        <v>5</v>
      </c>
      <c r="E429">
        <v>4</v>
      </c>
      <c r="F429" t="str">
        <f>_xlfn.XLOOKUP(tblAnalysis[[#This Row],[Product ID]], tblProducts[Product ID], tblProducts[Product Name])</f>
        <v>Headset</v>
      </c>
      <c r="G429" t="str">
        <f>_xlfn.XLOOKUP(tblAnalysis[[#This Row],[Product ID]], tblProducts[Product ID], tblProducts[Category])</f>
        <v>Electronics</v>
      </c>
      <c r="H429" s="22">
        <f>_xlfn.XLOOKUP(tblAnalysis[[#This Row],[Product ID]], tblProducts[Product ID], tblProducts[Unit Price])</f>
        <v>75</v>
      </c>
      <c r="I429" s="22">
        <f>_xlfn.XLOOKUP(tblAnalysis[[#This Row],[Product ID]], tblProducts[Product ID], tblProducts[Unit Cost])</f>
        <v>45</v>
      </c>
      <c r="J429" t="str">
        <f>_xlfn.XLOOKUP(tblAnalysis[[#This Row],[Rep ID]], tblReps[Rep ID], tblReps[Sales Rep])</f>
        <v>Emma</v>
      </c>
      <c r="K429" t="str">
        <f>_xlfn.XLOOKUP(tblAnalysis[[#This Row],[Rep ID]], tblReps[Rep ID], tblReps[Region])</f>
        <v>Miami</v>
      </c>
      <c r="L429" s="22">
        <f>tblAnalysis[[#This Row],[Quantity]]*tblAnalysis[[#This Row],[Unit Price]]</f>
        <v>300</v>
      </c>
      <c r="M429" s="22">
        <f>tblAnalysis[[#This Row],[Quantity]]*(tblAnalysis[[#This Row],[Unit Price]]-tblAnalysis[[#This Row],[Unit Cost]])</f>
        <v>120</v>
      </c>
    </row>
    <row r="430" spans="1:13">
      <c r="A430" t="s">
        <v>484</v>
      </c>
      <c r="B430" s="1">
        <v>45915</v>
      </c>
      <c r="C430" t="s">
        <v>41</v>
      </c>
      <c r="D430" t="s">
        <v>10</v>
      </c>
      <c r="E430">
        <v>4</v>
      </c>
      <c r="F430" t="str">
        <f>_xlfn.XLOOKUP(tblAnalysis[[#This Row],[Product ID]], tblProducts[Product ID], tblProducts[Product Name])</f>
        <v>Keyboard</v>
      </c>
      <c r="G430" t="str">
        <f>_xlfn.XLOOKUP(tblAnalysis[[#This Row],[Product ID]], tblProducts[Product ID], tblProducts[Category])</f>
        <v>Electronics</v>
      </c>
      <c r="H430" s="22">
        <f>_xlfn.XLOOKUP(tblAnalysis[[#This Row],[Product ID]], tblProducts[Product ID], tblProducts[Unit Price])</f>
        <v>40</v>
      </c>
      <c r="I430" s="22">
        <f>_xlfn.XLOOKUP(tblAnalysis[[#This Row],[Product ID]], tblProducts[Product ID], tblProducts[Unit Cost])</f>
        <v>22</v>
      </c>
      <c r="J430" t="str">
        <f>_xlfn.XLOOKUP(tblAnalysis[[#This Row],[Rep ID]], tblReps[Rep ID], tblReps[Sales Rep])</f>
        <v>Sarah</v>
      </c>
      <c r="K430" t="str">
        <f>_xlfn.XLOOKUP(tblAnalysis[[#This Row],[Rep ID]], tblReps[Rep ID], tblReps[Region])</f>
        <v>Chicago</v>
      </c>
      <c r="L430" s="22">
        <f>tblAnalysis[[#This Row],[Quantity]]*tblAnalysis[[#This Row],[Unit Price]]</f>
        <v>160</v>
      </c>
      <c r="M430" s="22">
        <f>tblAnalysis[[#This Row],[Quantity]]*(tblAnalysis[[#This Row],[Unit Price]]-tblAnalysis[[#This Row],[Unit Cost]])</f>
        <v>72</v>
      </c>
    </row>
    <row r="431" spans="1:13">
      <c r="A431" t="s">
        <v>485</v>
      </c>
      <c r="B431" s="1">
        <v>45915</v>
      </c>
      <c r="C431" t="s">
        <v>37</v>
      </c>
      <c r="D431" t="s">
        <v>19</v>
      </c>
      <c r="E431">
        <v>2</v>
      </c>
      <c r="F431" t="str">
        <f>_xlfn.XLOOKUP(tblAnalysis[[#This Row],[Product ID]], tblProducts[Product ID], tblProducts[Product Name])</f>
        <v>Fan</v>
      </c>
      <c r="G431" t="str">
        <f>_xlfn.XLOOKUP(tblAnalysis[[#This Row],[Product ID]], tblProducts[Product ID], tblProducts[Category])</f>
        <v>Home &amp; Living</v>
      </c>
      <c r="H431" s="22">
        <f>_xlfn.XLOOKUP(tblAnalysis[[#This Row],[Product ID]], tblProducts[Product ID], tblProducts[Unit Price])</f>
        <v>45</v>
      </c>
      <c r="I431" s="22">
        <f>_xlfn.XLOOKUP(tblAnalysis[[#This Row],[Product ID]], tblProducts[Product ID], tblProducts[Unit Cost])</f>
        <v>25</v>
      </c>
      <c r="J431" t="str">
        <f>_xlfn.XLOOKUP(tblAnalysis[[#This Row],[Rep ID]], tblReps[Rep ID], tblReps[Sales Rep])</f>
        <v>Mike</v>
      </c>
      <c r="K431" t="str">
        <f>_xlfn.XLOOKUP(tblAnalysis[[#This Row],[Rep ID]], tblReps[Rep ID], tblReps[Region])</f>
        <v>Los Angeles</v>
      </c>
      <c r="L431" s="22">
        <f>tblAnalysis[[#This Row],[Quantity]]*tblAnalysis[[#This Row],[Unit Price]]</f>
        <v>90</v>
      </c>
      <c r="M431" s="22">
        <f>tblAnalysis[[#This Row],[Quantity]]*(tblAnalysis[[#This Row],[Unit Price]]-tblAnalysis[[#This Row],[Unit Cost]])</f>
        <v>40</v>
      </c>
    </row>
    <row r="432" spans="1:13">
      <c r="A432" t="s">
        <v>486</v>
      </c>
      <c r="B432" s="1">
        <v>45916</v>
      </c>
      <c r="C432" t="s">
        <v>41</v>
      </c>
      <c r="D432" t="s">
        <v>8</v>
      </c>
      <c r="E432">
        <v>2</v>
      </c>
      <c r="F432" t="str">
        <f>_xlfn.XLOOKUP(tblAnalysis[[#This Row],[Product ID]], tblProducts[Product ID], tblProducts[Product Name])</f>
        <v>Mouse</v>
      </c>
      <c r="G432" t="str">
        <f>_xlfn.XLOOKUP(tblAnalysis[[#This Row],[Product ID]], tblProducts[Product ID], tblProducts[Category])</f>
        <v>Electronics</v>
      </c>
      <c r="H432" s="22">
        <f>_xlfn.XLOOKUP(tblAnalysis[[#This Row],[Product ID]], tblProducts[Product ID], tblProducts[Unit Price])</f>
        <v>25</v>
      </c>
      <c r="I432" s="22">
        <f>_xlfn.XLOOKUP(tblAnalysis[[#This Row],[Product ID]], tblProducts[Product ID], tblProducts[Unit Cost])</f>
        <v>12</v>
      </c>
      <c r="J432" t="str">
        <f>_xlfn.XLOOKUP(tblAnalysis[[#This Row],[Rep ID]], tblReps[Rep ID], tblReps[Sales Rep])</f>
        <v>Sarah</v>
      </c>
      <c r="K432" t="str">
        <f>_xlfn.XLOOKUP(tblAnalysis[[#This Row],[Rep ID]], tblReps[Rep ID], tblReps[Region])</f>
        <v>Chicago</v>
      </c>
      <c r="L432" s="22">
        <f>tblAnalysis[[#This Row],[Quantity]]*tblAnalysis[[#This Row],[Unit Price]]</f>
        <v>50</v>
      </c>
      <c r="M432" s="22">
        <f>tblAnalysis[[#This Row],[Quantity]]*(tblAnalysis[[#This Row],[Unit Price]]-tblAnalysis[[#This Row],[Unit Cost]])</f>
        <v>26</v>
      </c>
    </row>
    <row r="433" spans="1:13">
      <c r="A433" t="s">
        <v>487</v>
      </c>
      <c r="B433" s="1">
        <v>45916</v>
      </c>
      <c r="C433" t="s">
        <v>41</v>
      </c>
      <c r="D433" t="s">
        <v>8</v>
      </c>
      <c r="E433">
        <v>5</v>
      </c>
      <c r="F433" t="str">
        <f>_xlfn.XLOOKUP(tblAnalysis[[#This Row],[Product ID]], tblProducts[Product ID], tblProducts[Product Name])</f>
        <v>Mouse</v>
      </c>
      <c r="G433" t="str">
        <f>_xlfn.XLOOKUP(tblAnalysis[[#This Row],[Product ID]], tblProducts[Product ID], tblProducts[Category])</f>
        <v>Electronics</v>
      </c>
      <c r="H433" s="22">
        <f>_xlfn.XLOOKUP(tblAnalysis[[#This Row],[Product ID]], tblProducts[Product ID], tblProducts[Unit Price])</f>
        <v>25</v>
      </c>
      <c r="I433" s="22">
        <f>_xlfn.XLOOKUP(tblAnalysis[[#This Row],[Product ID]], tblProducts[Product ID], tblProducts[Unit Cost])</f>
        <v>12</v>
      </c>
      <c r="J433" t="str">
        <f>_xlfn.XLOOKUP(tblAnalysis[[#This Row],[Rep ID]], tblReps[Rep ID], tblReps[Sales Rep])</f>
        <v>Sarah</v>
      </c>
      <c r="K433" t="str">
        <f>_xlfn.XLOOKUP(tblAnalysis[[#This Row],[Rep ID]], tblReps[Rep ID], tblReps[Region])</f>
        <v>Chicago</v>
      </c>
      <c r="L433" s="22">
        <f>tblAnalysis[[#This Row],[Quantity]]*tblAnalysis[[#This Row],[Unit Price]]</f>
        <v>125</v>
      </c>
      <c r="M433" s="22">
        <f>tblAnalysis[[#This Row],[Quantity]]*(tblAnalysis[[#This Row],[Unit Price]]-tblAnalysis[[#This Row],[Unit Cost]])</f>
        <v>65</v>
      </c>
    </row>
    <row r="434" spans="1:13">
      <c r="A434" t="s">
        <v>488</v>
      </c>
      <c r="B434" s="1">
        <v>45917</v>
      </c>
      <c r="C434" t="s">
        <v>45</v>
      </c>
      <c r="D434" t="s">
        <v>21</v>
      </c>
      <c r="E434">
        <v>4</v>
      </c>
      <c r="F434" t="str">
        <f>_xlfn.XLOOKUP(tblAnalysis[[#This Row],[Product ID]], tblProducts[Product ID], tblProducts[Product Name])</f>
        <v>T-Shirt</v>
      </c>
      <c r="G434" t="str">
        <f>_xlfn.XLOOKUP(tblAnalysis[[#This Row],[Product ID]], tblProducts[Product ID], tblProducts[Category])</f>
        <v>Fashion</v>
      </c>
      <c r="H434" s="22">
        <f>_xlfn.XLOOKUP(tblAnalysis[[#This Row],[Product ID]], tblProducts[Product ID], tblProducts[Unit Price])</f>
        <v>20</v>
      </c>
      <c r="I434" s="22">
        <f>_xlfn.XLOOKUP(tblAnalysis[[#This Row],[Product ID]], tblProducts[Product ID], tblProducts[Unit Cost])</f>
        <v>8</v>
      </c>
      <c r="J434" t="str">
        <f>_xlfn.XLOOKUP(tblAnalysis[[#This Row],[Rep ID]], tblReps[Rep ID], tblReps[Sales Rep])</f>
        <v>David</v>
      </c>
      <c r="K434" t="str">
        <f>_xlfn.XLOOKUP(tblAnalysis[[#This Row],[Rep ID]], tblReps[Rep ID], tblReps[Region])</f>
        <v>Houston</v>
      </c>
      <c r="L434" s="22">
        <f>tblAnalysis[[#This Row],[Quantity]]*tblAnalysis[[#This Row],[Unit Price]]</f>
        <v>80</v>
      </c>
      <c r="M434" s="22">
        <f>tblAnalysis[[#This Row],[Quantity]]*(tblAnalysis[[#This Row],[Unit Price]]-tblAnalysis[[#This Row],[Unit Cost]])</f>
        <v>48</v>
      </c>
    </row>
    <row r="435" spans="1:13">
      <c r="A435" t="s">
        <v>489</v>
      </c>
      <c r="B435" s="1">
        <v>45918</v>
      </c>
      <c r="C435" t="s">
        <v>37</v>
      </c>
      <c r="D435" t="s">
        <v>17</v>
      </c>
      <c r="E435">
        <v>4</v>
      </c>
      <c r="F435" t="str">
        <f>_xlfn.XLOOKUP(tblAnalysis[[#This Row],[Product ID]], tblProducts[Product ID], tblProducts[Product Name])</f>
        <v>Iron</v>
      </c>
      <c r="G435" t="str">
        <f>_xlfn.XLOOKUP(tblAnalysis[[#This Row],[Product ID]], tblProducts[Product ID], tblProducts[Category])</f>
        <v>Home &amp; Living</v>
      </c>
      <c r="H435" s="22">
        <f>_xlfn.XLOOKUP(tblAnalysis[[#This Row],[Product ID]], tblProducts[Product ID], tblProducts[Unit Price])</f>
        <v>35</v>
      </c>
      <c r="I435" s="22">
        <f>_xlfn.XLOOKUP(tblAnalysis[[#This Row],[Product ID]], tblProducts[Product ID], tblProducts[Unit Cost])</f>
        <v>20</v>
      </c>
      <c r="J435" t="str">
        <f>_xlfn.XLOOKUP(tblAnalysis[[#This Row],[Rep ID]], tblReps[Rep ID], tblReps[Sales Rep])</f>
        <v>Mike</v>
      </c>
      <c r="K435" t="str">
        <f>_xlfn.XLOOKUP(tblAnalysis[[#This Row],[Rep ID]], tblReps[Rep ID], tblReps[Region])</f>
        <v>Los Angeles</v>
      </c>
      <c r="L435" s="22">
        <f>tblAnalysis[[#This Row],[Quantity]]*tblAnalysis[[#This Row],[Unit Price]]</f>
        <v>140</v>
      </c>
      <c r="M435" s="22">
        <f>tblAnalysis[[#This Row],[Quantity]]*(tblAnalysis[[#This Row],[Unit Price]]-tblAnalysis[[#This Row],[Unit Cost]])</f>
        <v>60</v>
      </c>
    </row>
    <row r="436" spans="1:13">
      <c r="A436" t="s">
        <v>490</v>
      </c>
      <c r="B436" s="1">
        <v>45919</v>
      </c>
      <c r="C436" t="s">
        <v>49</v>
      </c>
      <c r="D436" t="s">
        <v>14</v>
      </c>
      <c r="E436">
        <v>1</v>
      </c>
      <c r="F436" t="str">
        <f>_xlfn.XLOOKUP(tblAnalysis[[#This Row],[Product ID]], tblProducts[Product ID], tblProducts[Product Name])</f>
        <v>Blender</v>
      </c>
      <c r="G436" t="str">
        <f>_xlfn.XLOOKUP(tblAnalysis[[#This Row],[Product ID]], tblProducts[Product ID], tblProducts[Category])</f>
        <v>Home &amp; Living</v>
      </c>
      <c r="H436" s="22">
        <f>_xlfn.XLOOKUP(tblAnalysis[[#This Row],[Product ID]], tblProducts[Product ID], tblProducts[Unit Price])</f>
        <v>50</v>
      </c>
      <c r="I436" s="22">
        <f>_xlfn.XLOOKUP(tblAnalysis[[#This Row],[Product ID]], tblProducts[Product ID], tblProducts[Unit Cost])</f>
        <v>30</v>
      </c>
      <c r="J436" t="str">
        <f>_xlfn.XLOOKUP(tblAnalysis[[#This Row],[Rep ID]], tblReps[Rep ID], tblReps[Sales Rep])</f>
        <v>Emma</v>
      </c>
      <c r="K436" t="str">
        <f>_xlfn.XLOOKUP(tblAnalysis[[#This Row],[Rep ID]], tblReps[Rep ID], tblReps[Region])</f>
        <v>Miami</v>
      </c>
      <c r="L436" s="22">
        <f>tblAnalysis[[#This Row],[Quantity]]*tblAnalysis[[#This Row],[Unit Price]]</f>
        <v>50</v>
      </c>
      <c r="M436" s="22">
        <f>tblAnalysis[[#This Row],[Quantity]]*(tblAnalysis[[#This Row],[Unit Price]]-tblAnalysis[[#This Row],[Unit Cost]])</f>
        <v>20</v>
      </c>
    </row>
    <row r="437" spans="1:13">
      <c r="A437" t="s">
        <v>491</v>
      </c>
      <c r="B437" s="1">
        <v>45920</v>
      </c>
      <c r="C437" t="s">
        <v>33</v>
      </c>
      <c r="D437" t="s">
        <v>21</v>
      </c>
      <c r="E437">
        <v>3</v>
      </c>
      <c r="F437" t="str">
        <f>_xlfn.XLOOKUP(tblAnalysis[[#This Row],[Product ID]], tblProducts[Product ID], tblProducts[Product Name])</f>
        <v>T-Shirt</v>
      </c>
      <c r="G437" t="str">
        <f>_xlfn.XLOOKUP(tblAnalysis[[#This Row],[Product ID]], tblProducts[Product ID], tblProducts[Category])</f>
        <v>Fashion</v>
      </c>
      <c r="H437" s="22">
        <f>_xlfn.XLOOKUP(tblAnalysis[[#This Row],[Product ID]], tblProducts[Product ID], tblProducts[Unit Price])</f>
        <v>20</v>
      </c>
      <c r="I437" s="22">
        <f>_xlfn.XLOOKUP(tblAnalysis[[#This Row],[Product ID]], tblProducts[Product ID], tblProducts[Unit Cost])</f>
        <v>8</v>
      </c>
      <c r="J437" t="str">
        <f>_xlfn.XLOOKUP(tblAnalysis[[#This Row],[Rep ID]], tblReps[Rep ID], tblReps[Sales Rep])</f>
        <v>John</v>
      </c>
      <c r="K437" t="str">
        <f>_xlfn.XLOOKUP(tblAnalysis[[#This Row],[Rep ID]], tblReps[Rep ID], tblReps[Region])</f>
        <v>New York</v>
      </c>
      <c r="L437" s="22">
        <f>tblAnalysis[[#This Row],[Quantity]]*tblAnalysis[[#This Row],[Unit Price]]</f>
        <v>60</v>
      </c>
      <c r="M437" s="22">
        <f>tblAnalysis[[#This Row],[Quantity]]*(tblAnalysis[[#This Row],[Unit Price]]-tblAnalysis[[#This Row],[Unit Cost]])</f>
        <v>36</v>
      </c>
    </row>
    <row r="438" spans="1:13">
      <c r="A438" t="s">
        <v>492</v>
      </c>
      <c r="B438" s="1">
        <v>45921</v>
      </c>
      <c r="C438" t="s">
        <v>49</v>
      </c>
      <c r="D438" t="s">
        <v>14</v>
      </c>
      <c r="E438">
        <v>1</v>
      </c>
      <c r="F438" t="str">
        <f>_xlfn.XLOOKUP(tblAnalysis[[#This Row],[Product ID]], tblProducts[Product ID], tblProducts[Product Name])</f>
        <v>Blender</v>
      </c>
      <c r="G438" t="str">
        <f>_xlfn.XLOOKUP(tblAnalysis[[#This Row],[Product ID]], tblProducts[Product ID], tblProducts[Category])</f>
        <v>Home &amp; Living</v>
      </c>
      <c r="H438" s="22">
        <f>_xlfn.XLOOKUP(tblAnalysis[[#This Row],[Product ID]], tblProducts[Product ID], tblProducts[Unit Price])</f>
        <v>50</v>
      </c>
      <c r="I438" s="22">
        <f>_xlfn.XLOOKUP(tblAnalysis[[#This Row],[Product ID]], tblProducts[Product ID], tblProducts[Unit Cost])</f>
        <v>30</v>
      </c>
      <c r="J438" t="str">
        <f>_xlfn.XLOOKUP(tblAnalysis[[#This Row],[Rep ID]], tblReps[Rep ID], tblReps[Sales Rep])</f>
        <v>Emma</v>
      </c>
      <c r="K438" t="str">
        <f>_xlfn.XLOOKUP(tblAnalysis[[#This Row],[Rep ID]], tblReps[Rep ID], tblReps[Region])</f>
        <v>Miami</v>
      </c>
      <c r="L438" s="22">
        <f>tblAnalysis[[#This Row],[Quantity]]*tblAnalysis[[#This Row],[Unit Price]]</f>
        <v>50</v>
      </c>
      <c r="M438" s="22">
        <f>tblAnalysis[[#This Row],[Quantity]]*(tblAnalysis[[#This Row],[Unit Price]]-tblAnalysis[[#This Row],[Unit Cost]])</f>
        <v>20</v>
      </c>
    </row>
    <row r="439" spans="1:13">
      <c r="A439" t="s">
        <v>493</v>
      </c>
      <c r="B439" s="1">
        <v>45921</v>
      </c>
      <c r="C439" t="s">
        <v>33</v>
      </c>
      <c r="D439" t="s">
        <v>21</v>
      </c>
      <c r="E439">
        <v>7</v>
      </c>
      <c r="F439" t="str">
        <f>_xlfn.XLOOKUP(tblAnalysis[[#This Row],[Product ID]], tblProducts[Product ID], tblProducts[Product Name])</f>
        <v>T-Shirt</v>
      </c>
      <c r="G439" t="str">
        <f>_xlfn.XLOOKUP(tblAnalysis[[#This Row],[Product ID]], tblProducts[Product ID], tblProducts[Category])</f>
        <v>Fashion</v>
      </c>
      <c r="H439" s="22">
        <f>_xlfn.XLOOKUP(tblAnalysis[[#This Row],[Product ID]], tblProducts[Product ID], tblProducts[Unit Price])</f>
        <v>20</v>
      </c>
      <c r="I439" s="22">
        <f>_xlfn.XLOOKUP(tblAnalysis[[#This Row],[Product ID]], tblProducts[Product ID], tblProducts[Unit Cost])</f>
        <v>8</v>
      </c>
      <c r="J439" t="str">
        <f>_xlfn.XLOOKUP(tblAnalysis[[#This Row],[Rep ID]], tblReps[Rep ID], tblReps[Sales Rep])</f>
        <v>John</v>
      </c>
      <c r="K439" t="str">
        <f>_xlfn.XLOOKUP(tblAnalysis[[#This Row],[Rep ID]], tblReps[Rep ID], tblReps[Region])</f>
        <v>New York</v>
      </c>
      <c r="L439" s="22">
        <f>tblAnalysis[[#This Row],[Quantity]]*tblAnalysis[[#This Row],[Unit Price]]</f>
        <v>140</v>
      </c>
      <c r="M439" s="22">
        <f>tblAnalysis[[#This Row],[Quantity]]*(tblAnalysis[[#This Row],[Unit Price]]-tblAnalysis[[#This Row],[Unit Cost]])</f>
        <v>84</v>
      </c>
    </row>
    <row r="440" spans="1:13">
      <c r="A440" t="s">
        <v>494</v>
      </c>
      <c r="B440" s="1">
        <v>45921</v>
      </c>
      <c r="C440" t="s">
        <v>45</v>
      </c>
      <c r="D440" t="s">
        <v>14</v>
      </c>
      <c r="E440">
        <v>4</v>
      </c>
      <c r="F440" t="str">
        <f>_xlfn.XLOOKUP(tblAnalysis[[#This Row],[Product ID]], tblProducts[Product ID], tblProducts[Product Name])</f>
        <v>Blender</v>
      </c>
      <c r="G440" t="str">
        <f>_xlfn.XLOOKUP(tblAnalysis[[#This Row],[Product ID]], tblProducts[Product ID], tblProducts[Category])</f>
        <v>Home &amp; Living</v>
      </c>
      <c r="H440" s="22">
        <f>_xlfn.XLOOKUP(tblAnalysis[[#This Row],[Product ID]], tblProducts[Product ID], tblProducts[Unit Price])</f>
        <v>50</v>
      </c>
      <c r="I440" s="22">
        <f>_xlfn.XLOOKUP(tblAnalysis[[#This Row],[Product ID]], tblProducts[Product ID], tblProducts[Unit Cost])</f>
        <v>30</v>
      </c>
      <c r="J440" t="str">
        <f>_xlfn.XLOOKUP(tblAnalysis[[#This Row],[Rep ID]], tblReps[Rep ID], tblReps[Sales Rep])</f>
        <v>David</v>
      </c>
      <c r="K440" t="str">
        <f>_xlfn.XLOOKUP(tblAnalysis[[#This Row],[Rep ID]], tblReps[Rep ID], tblReps[Region])</f>
        <v>Houston</v>
      </c>
      <c r="L440" s="22">
        <f>tblAnalysis[[#This Row],[Quantity]]*tblAnalysis[[#This Row],[Unit Price]]</f>
        <v>200</v>
      </c>
      <c r="M440" s="22">
        <f>tblAnalysis[[#This Row],[Quantity]]*(tblAnalysis[[#This Row],[Unit Price]]-tblAnalysis[[#This Row],[Unit Cost]])</f>
        <v>80</v>
      </c>
    </row>
    <row r="441" spans="1:13">
      <c r="A441" t="s">
        <v>495</v>
      </c>
      <c r="B441" s="1">
        <v>45921</v>
      </c>
      <c r="C441" t="s">
        <v>33</v>
      </c>
      <c r="D441" t="s">
        <v>21</v>
      </c>
      <c r="E441">
        <v>2</v>
      </c>
      <c r="F441" t="str">
        <f>_xlfn.XLOOKUP(tblAnalysis[[#This Row],[Product ID]], tblProducts[Product ID], tblProducts[Product Name])</f>
        <v>T-Shirt</v>
      </c>
      <c r="G441" t="str">
        <f>_xlfn.XLOOKUP(tblAnalysis[[#This Row],[Product ID]], tblProducts[Product ID], tblProducts[Category])</f>
        <v>Fashion</v>
      </c>
      <c r="H441" s="22">
        <f>_xlfn.XLOOKUP(tblAnalysis[[#This Row],[Product ID]], tblProducts[Product ID], tblProducts[Unit Price])</f>
        <v>20</v>
      </c>
      <c r="I441" s="22">
        <f>_xlfn.XLOOKUP(tblAnalysis[[#This Row],[Product ID]], tblProducts[Product ID], tblProducts[Unit Cost])</f>
        <v>8</v>
      </c>
      <c r="J441" t="str">
        <f>_xlfn.XLOOKUP(tblAnalysis[[#This Row],[Rep ID]], tblReps[Rep ID], tblReps[Sales Rep])</f>
        <v>John</v>
      </c>
      <c r="K441" t="str">
        <f>_xlfn.XLOOKUP(tblAnalysis[[#This Row],[Rep ID]], tblReps[Rep ID], tblReps[Region])</f>
        <v>New York</v>
      </c>
      <c r="L441" s="22">
        <f>tblAnalysis[[#This Row],[Quantity]]*tblAnalysis[[#This Row],[Unit Price]]</f>
        <v>40</v>
      </c>
      <c r="M441" s="22">
        <f>tblAnalysis[[#This Row],[Quantity]]*(tblAnalysis[[#This Row],[Unit Price]]-tblAnalysis[[#This Row],[Unit Cost]])</f>
        <v>24</v>
      </c>
    </row>
    <row r="442" spans="1:13">
      <c r="A442" t="s">
        <v>496</v>
      </c>
      <c r="B442" s="1">
        <v>45921</v>
      </c>
      <c r="C442" t="s">
        <v>45</v>
      </c>
      <c r="D442" t="s">
        <v>24</v>
      </c>
      <c r="E442">
        <v>5</v>
      </c>
      <c r="F442" t="str">
        <f>_xlfn.XLOOKUP(tblAnalysis[[#This Row],[Product ID]], tblProducts[Product ID], tblProducts[Product Name])</f>
        <v>Pants</v>
      </c>
      <c r="G442" t="str">
        <f>_xlfn.XLOOKUP(tblAnalysis[[#This Row],[Product ID]], tblProducts[Product ID], tblProducts[Category])</f>
        <v>Fashion</v>
      </c>
      <c r="H442" s="22">
        <f>_xlfn.XLOOKUP(tblAnalysis[[#This Row],[Product ID]], tblProducts[Product ID], tblProducts[Unit Price])</f>
        <v>40</v>
      </c>
      <c r="I442" s="22">
        <f>_xlfn.XLOOKUP(tblAnalysis[[#This Row],[Product ID]], tblProducts[Product ID], tblProducts[Unit Cost])</f>
        <v>18</v>
      </c>
      <c r="J442" t="str">
        <f>_xlfn.XLOOKUP(tblAnalysis[[#This Row],[Rep ID]], tblReps[Rep ID], tblReps[Sales Rep])</f>
        <v>David</v>
      </c>
      <c r="K442" t="str">
        <f>_xlfn.XLOOKUP(tblAnalysis[[#This Row],[Rep ID]], tblReps[Rep ID], tblReps[Region])</f>
        <v>Houston</v>
      </c>
      <c r="L442" s="22">
        <f>tblAnalysis[[#This Row],[Quantity]]*tblAnalysis[[#This Row],[Unit Price]]</f>
        <v>200</v>
      </c>
      <c r="M442" s="22">
        <f>tblAnalysis[[#This Row],[Quantity]]*(tblAnalysis[[#This Row],[Unit Price]]-tblAnalysis[[#This Row],[Unit Cost]])</f>
        <v>110</v>
      </c>
    </row>
    <row r="443" spans="1:13">
      <c r="A443" t="s">
        <v>497</v>
      </c>
      <c r="B443" s="1">
        <v>45922</v>
      </c>
      <c r="C443" t="s">
        <v>49</v>
      </c>
      <c r="D443" t="s">
        <v>8</v>
      </c>
      <c r="E443">
        <v>3</v>
      </c>
      <c r="F443" t="str">
        <f>_xlfn.XLOOKUP(tblAnalysis[[#This Row],[Product ID]], tblProducts[Product ID], tblProducts[Product Name])</f>
        <v>Mouse</v>
      </c>
      <c r="G443" t="str">
        <f>_xlfn.XLOOKUP(tblAnalysis[[#This Row],[Product ID]], tblProducts[Product ID], tblProducts[Category])</f>
        <v>Electronics</v>
      </c>
      <c r="H443" s="22">
        <f>_xlfn.XLOOKUP(tblAnalysis[[#This Row],[Product ID]], tblProducts[Product ID], tblProducts[Unit Price])</f>
        <v>25</v>
      </c>
      <c r="I443" s="22">
        <f>_xlfn.XLOOKUP(tblAnalysis[[#This Row],[Product ID]], tblProducts[Product ID], tblProducts[Unit Cost])</f>
        <v>12</v>
      </c>
      <c r="J443" t="str">
        <f>_xlfn.XLOOKUP(tblAnalysis[[#This Row],[Rep ID]], tblReps[Rep ID], tblReps[Sales Rep])</f>
        <v>Emma</v>
      </c>
      <c r="K443" t="str">
        <f>_xlfn.XLOOKUP(tblAnalysis[[#This Row],[Rep ID]], tblReps[Rep ID], tblReps[Region])</f>
        <v>Miami</v>
      </c>
      <c r="L443" s="22">
        <f>tblAnalysis[[#This Row],[Quantity]]*tblAnalysis[[#This Row],[Unit Price]]</f>
        <v>75</v>
      </c>
      <c r="M443" s="22">
        <f>tblAnalysis[[#This Row],[Quantity]]*(tblAnalysis[[#This Row],[Unit Price]]-tblAnalysis[[#This Row],[Unit Cost]])</f>
        <v>39</v>
      </c>
    </row>
    <row r="444" spans="1:13">
      <c r="A444" t="s">
        <v>498</v>
      </c>
      <c r="B444" s="1">
        <v>45922</v>
      </c>
      <c r="C444" t="s">
        <v>37</v>
      </c>
      <c r="D444" t="s">
        <v>5</v>
      </c>
      <c r="E444">
        <v>10</v>
      </c>
      <c r="F444" t="str">
        <f>_xlfn.XLOOKUP(tblAnalysis[[#This Row],[Product ID]], tblProducts[Product ID], tblProducts[Product Name])</f>
        <v>Headset</v>
      </c>
      <c r="G444" t="str">
        <f>_xlfn.XLOOKUP(tblAnalysis[[#This Row],[Product ID]], tblProducts[Product ID], tblProducts[Category])</f>
        <v>Electronics</v>
      </c>
      <c r="H444" s="22">
        <f>_xlfn.XLOOKUP(tblAnalysis[[#This Row],[Product ID]], tblProducts[Product ID], tblProducts[Unit Price])</f>
        <v>75</v>
      </c>
      <c r="I444" s="22">
        <f>_xlfn.XLOOKUP(tblAnalysis[[#This Row],[Product ID]], tblProducts[Product ID], tblProducts[Unit Cost])</f>
        <v>45</v>
      </c>
      <c r="J444" t="str">
        <f>_xlfn.XLOOKUP(tblAnalysis[[#This Row],[Rep ID]], tblReps[Rep ID], tblReps[Sales Rep])</f>
        <v>Mike</v>
      </c>
      <c r="K444" t="str">
        <f>_xlfn.XLOOKUP(tblAnalysis[[#This Row],[Rep ID]], tblReps[Rep ID], tblReps[Region])</f>
        <v>Los Angeles</v>
      </c>
      <c r="L444" s="22">
        <f>tblAnalysis[[#This Row],[Quantity]]*tblAnalysis[[#This Row],[Unit Price]]</f>
        <v>750</v>
      </c>
      <c r="M444" s="22">
        <f>tblAnalysis[[#This Row],[Quantity]]*(tblAnalysis[[#This Row],[Unit Price]]-tblAnalysis[[#This Row],[Unit Cost]])</f>
        <v>300</v>
      </c>
    </row>
    <row r="445" spans="1:13">
      <c r="A445" t="s">
        <v>499</v>
      </c>
      <c r="B445" s="1">
        <v>45924</v>
      </c>
      <c r="C445" t="s">
        <v>41</v>
      </c>
      <c r="D445" t="s">
        <v>21</v>
      </c>
      <c r="E445">
        <v>2</v>
      </c>
      <c r="F445" t="str">
        <f>_xlfn.XLOOKUP(tblAnalysis[[#This Row],[Product ID]], tblProducts[Product ID], tblProducts[Product Name])</f>
        <v>T-Shirt</v>
      </c>
      <c r="G445" t="str">
        <f>_xlfn.XLOOKUP(tblAnalysis[[#This Row],[Product ID]], tblProducts[Product ID], tblProducts[Category])</f>
        <v>Fashion</v>
      </c>
      <c r="H445" s="22">
        <f>_xlfn.XLOOKUP(tblAnalysis[[#This Row],[Product ID]], tblProducts[Product ID], tblProducts[Unit Price])</f>
        <v>20</v>
      </c>
      <c r="I445" s="22">
        <f>_xlfn.XLOOKUP(tblAnalysis[[#This Row],[Product ID]], tblProducts[Product ID], tblProducts[Unit Cost])</f>
        <v>8</v>
      </c>
      <c r="J445" t="str">
        <f>_xlfn.XLOOKUP(tblAnalysis[[#This Row],[Rep ID]], tblReps[Rep ID], tblReps[Sales Rep])</f>
        <v>Sarah</v>
      </c>
      <c r="K445" t="str">
        <f>_xlfn.XLOOKUP(tblAnalysis[[#This Row],[Rep ID]], tblReps[Rep ID], tblReps[Region])</f>
        <v>Chicago</v>
      </c>
      <c r="L445" s="22">
        <f>tblAnalysis[[#This Row],[Quantity]]*tblAnalysis[[#This Row],[Unit Price]]</f>
        <v>40</v>
      </c>
      <c r="M445" s="22">
        <f>tblAnalysis[[#This Row],[Quantity]]*(tblAnalysis[[#This Row],[Unit Price]]-tblAnalysis[[#This Row],[Unit Cost]])</f>
        <v>24</v>
      </c>
    </row>
    <row r="446" spans="1:13">
      <c r="A446" t="s">
        <v>500</v>
      </c>
      <c r="B446" s="1">
        <v>45925</v>
      </c>
      <c r="C446" t="s">
        <v>33</v>
      </c>
      <c r="D446" t="s">
        <v>14</v>
      </c>
      <c r="E446">
        <v>4</v>
      </c>
      <c r="F446" t="str">
        <f>_xlfn.XLOOKUP(tblAnalysis[[#This Row],[Product ID]], tblProducts[Product ID], tblProducts[Product Name])</f>
        <v>Blender</v>
      </c>
      <c r="G446" t="str">
        <f>_xlfn.XLOOKUP(tblAnalysis[[#This Row],[Product ID]], tblProducts[Product ID], tblProducts[Category])</f>
        <v>Home &amp; Living</v>
      </c>
      <c r="H446" s="22">
        <f>_xlfn.XLOOKUP(tblAnalysis[[#This Row],[Product ID]], tblProducts[Product ID], tblProducts[Unit Price])</f>
        <v>50</v>
      </c>
      <c r="I446" s="22">
        <f>_xlfn.XLOOKUP(tblAnalysis[[#This Row],[Product ID]], tblProducts[Product ID], tblProducts[Unit Cost])</f>
        <v>30</v>
      </c>
      <c r="J446" t="str">
        <f>_xlfn.XLOOKUP(tblAnalysis[[#This Row],[Rep ID]], tblReps[Rep ID], tblReps[Sales Rep])</f>
        <v>John</v>
      </c>
      <c r="K446" t="str">
        <f>_xlfn.XLOOKUP(tblAnalysis[[#This Row],[Rep ID]], tblReps[Rep ID], tblReps[Region])</f>
        <v>New York</v>
      </c>
      <c r="L446" s="22">
        <f>tblAnalysis[[#This Row],[Quantity]]*tblAnalysis[[#This Row],[Unit Price]]</f>
        <v>200</v>
      </c>
      <c r="M446" s="22">
        <f>tblAnalysis[[#This Row],[Quantity]]*(tblAnalysis[[#This Row],[Unit Price]]-tblAnalysis[[#This Row],[Unit Cost]])</f>
        <v>80</v>
      </c>
    </row>
    <row r="447" spans="1:13">
      <c r="A447" t="s">
        <v>501</v>
      </c>
      <c r="B447" s="1">
        <v>45925</v>
      </c>
      <c r="C447" t="s">
        <v>49</v>
      </c>
      <c r="D447" t="s">
        <v>12</v>
      </c>
      <c r="E447">
        <v>8</v>
      </c>
      <c r="F447" t="str">
        <f>_xlfn.XLOOKUP(tblAnalysis[[#This Row],[Product ID]], tblProducts[Product ID], tblProducts[Product Name])</f>
        <v>Webcam</v>
      </c>
      <c r="G447" t="str">
        <f>_xlfn.XLOOKUP(tblAnalysis[[#This Row],[Product ID]], tblProducts[Product ID], tblProducts[Category])</f>
        <v>Electronics</v>
      </c>
      <c r="H447" s="22">
        <f>_xlfn.XLOOKUP(tblAnalysis[[#This Row],[Product ID]], tblProducts[Product ID], tblProducts[Unit Price])</f>
        <v>60</v>
      </c>
      <c r="I447" s="22">
        <f>_xlfn.XLOOKUP(tblAnalysis[[#This Row],[Product ID]], tblProducts[Product ID], tblProducts[Unit Cost])</f>
        <v>35</v>
      </c>
      <c r="J447" t="str">
        <f>_xlfn.XLOOKUP(tblAnalysis[[#This Row],[Rep ID]], tblReps[Rep ID], tblReps[Sales Rep])</f>
        <v>Emma</v>
      </c>
      <c r="K447" t="str">
        <f>_xlfn.XLOOKUP(tblAnalysis[[#This Row],[Rep ID]], tblReps[Rep ID], tblReps[Region])</f>
        <v>Miami</v>
      </c>
      <c r="L447" s="22">
        <f>tblAnalysis[[#This Row],[Quantity]]*tblAnalysis[[#This Row],[Unit Price]]</f>
        <v>480</v>
      </c>
      <c r="M447" s="22">
        <f>tblAnalysis[[#This Row],[Quantity]]*(tblAnalysis[[#This Row],[Unit Price]]-tblAnalysis[[#This Row],[Unit Cost]])</f>
        <v>200</v>
      </c>
    </row>
    <row r="448" spans="1:13">
      <c r="A448" t="s">
        <v>502</v>
      </c>
      <c r="B448" s="1">
        <v>45925</v>
      </c>
      <c r="C448" t="s">
        <v>37</v>
      </c>
      <c r="D448" t="s">
        <v>8</v>
      </c>
      <c r="E448">
        <v>8</v>
      </c>
      <c r="F448" t="str">
        <f>_xlfn.XLOOKUP(tblAnalysis[[#This Row],[Product ID]], tblProducts[Product ID], tblProducts[Product Name])</f>
        <v>Mouse</v>
      </c>
      <c r="G448" t="str">
        <f>_xlfn.XLOOKUP(tblAnalysis[[#This Row],[Product ID]], tblProducts[Product ID], tblProducts[Category])</f>
        <v>Electronics</v>
      </c>
      <c r="H448" s="22">
        <f>_xlfn.XLOOKUP(tblAnalysis[[#This Row],[Product ID]], tblProducts[Product ID], tblProducts[Unit Price])</f>
        <v>25</v>
      </c>
      <c r="I448" s="22">
        <f>_xlfn.XLOOKUP(tblAnalysis[[#This Row],[Product ID]], tblProducts[Product ID], tblProducts[Unit Cost])</f>
        <v>12</v>
      </c>
      <c r="J448" t="str">
        <f>_xlfn.XLOOKUP(tblAnalysis[[#This Row],[Rep ID]], tblReps[Rep ID], tblReps[Sales Rep])</f>
        <v>Mike</v>
      </c>
      <c r="K448" t="str">
        <f>_xlfn.XLOOKUP(tblAnalysis[[#This Row],[Rep ID]], tblReps[Rep ID], tblReps[Region])</f>
        <v>Los Angeles</v>
      </c>
      <c r="L448" s="22">
        <f>tblAnalysis[[#This Row],[Quantity]]*tblAnalysis[[#This Row],[Unit Price]]</f>
        <v>200</v>
      </c>
      <c r="M448" s="22">
        <f>tblAnalysis[[#This Row],[Quantity]]*(tblAnalysis[[#This Row],[Unit Price]]-tblAnalysis[[#This Row],[Unit Cost]])</f>
        <v>104</v>
      </c>
    </row>
    <row r="449" spans="1:13">
      <c r="A449" t="s">
        <v>503</v>
      </c>
      <c r="B449" s="1">
        <v>45925</v>
      </c>
      <c r="C449" t="s">
        <v>49</v>
      </c>
      <c r="D449" t="s">
        <v>10</v>
      </c>
      <c r="E449">
        <v>7</v>
      </c>
      <c r="F449" t="str">
        <f>_xlfn.XLOOKUP(tblAnalysis[[#This Row],[Product ID]], tblProducts[Product ID], tblProducts[Product Name])</f>
        <v>Keyboard</v>
      </c>
      <c r="G449" t="str">
        <f>_xlfn.XLOOKUP(tblAnalysis[[#This Row],[Product ID]], tblProducts[Product ID], tblProducts[Category])</f>
        <v>Electronics</v>
      </c>
      <c r="H449" s="22">
        <f>_xlfn.XLOOKUP(tblAnalysis[[#This Row],[Product ID]], tblProducts[Product ID], tblProducts[Unit Price])</f>
        <v>40</v>
      </c>
      <c r="I449" s="22">
        <f>_xlfn.XLOOKUP(tblAnalysis[[#This Row],[Product ID]], tblProducts[Product ID], tblProducts[Unit Cost])</f>
        <v>22</v>
      </c>
      <c r="J449" t="str">
        <f>_xlfn.XLOOKUP(tblAnalysis[[#This Row],[Rep ID]], tblReps[Rep ID], tblReps[Sales Rep])</f>
        <v>Emma</v>
      </c>
      <c r="K449" t="str">
        <f>_xlfn.XLOOKUP(tblAnalysis[[#This Row],[Rep ID]], tblReps[Rep ID], tblReps[Region])</f>
        <v>Miami</v>
      </c>
      <c r="L449" s="22">
        <f>tblAnalysis[[#This Row],[Quantity]]*tblAnalysis[[#This Row],[Unit Price]]</f>
        <v>280</v>
      </c>
      <c r="M449" s="22">
        <f>tblAnalysis[[#This Row],[Quantity]]*(tblAnalysis[[#This Row],[Unit Price]]-tblAnalysis[[#This Row],[Unit Cost]])</f>
        <v>126</v>
      </c>
    </row>
    <row r="450" spans="1:13">
      <c r="A450" t="s">
        <v>504</v>
      </c>
      <c r="B450" s="1">
        <v>45926</v>
      </c>
      <c r="C450" t="s">
        <v>37</v>
      </c>
      <c r="D450" t="s">
        <v>19</v>
      </c>
      <c r="E450">
        <v>8</v>
      </c>
      <c r="F450" t="str">
        <f>_xlfn.XLOOKUP(tblAnalysis[[#This Row],[Product ID]], tblProducts[Product ID], tblProducts[Product Name])</f>
        <v>Fan</v>
      </c>
      <c r="G450" t="str">
        <f>_xlfn.XLOOKUP(tblAnalysis[[#This Row],[Product ID]], tblProducts[Product ID], tblProducts[Category])</f>
        <v>Home &amp; Living</v>
      </c>
      <c r="H450" s="22">
        <f>_xlfn.XLOOKUP(tblAnalysis[[#This Row],[Product ID]], tblProducts[Product ID], tblProducts[Unit Price])</f>
        <v>45</v>
      </c>
      <c r="I450" s="22">
        <f>_xlfn.XLOOKUP(tblAnalysis[[#This Row],[Product ID]], tblProducts[Product ID], tblProducts[Unit Cost])</f>
        <v>25</v>
      </c>
      <c r="J450" t="str">
        <f>_xlfn.XLOOKUP(tblAnalysis[[#This Row],[Rep ID]], tblReps[Rep ID], tblReps[Sales Rep])</f>
        <v>Mike</v>
      </c>
      <c r="K450" t="str">
        <f>_xlfn.XLOOKUP(tblAnalysis[[#This Row],[Rep ID]], tblReps[Rep ID], tblReps[Region])</f>
        <v>Los Angeles</v>
      </c>
      <c r="L450" s="22">
        <f>tblAnalysis[[#This Row],[Quantity]]*tblAnalysis[[#This Row],[Unit Price]]</f>
        <v>360</v>
      </c>
      <c r="M450" s="22">
        <f>tblAnalysis[[#This Row],[Quantity]]*(tblAnalysis[[#This Row],[Unit Price]]-tblAnalysis[[#This Row],[Unit Cost]])</f>
        <v>160</v>
      </c>
    </row>
    <row r="451" spans="1:13">
      <c r="A451" t="s">
        <v>505</v>
      </c>
      <c r="B451" s="1">
        <v>45927</v>
      </c>
      <c r="C451" t="s">
        <v>45</v>
      </c>
      <c r="D451" t="s">
        <v>26</v>
      </c>
      <c r="E451">
        <v>2</v>
      </c>
      <c r="F451" t="str">
        <f>_xlfn.XLOOKUP(tblAnalysis[[#This Row],[Product ID]], tblProducts[Product ID], tblProducts[Product Name])</f>
        <v>Shoes</v>
      </c>
      <c r="G451" t="str">
        <f>_xlfn.XLOOKUP(tblAnalysis[[#This Row],[Product ID]], tblProducts[Product ID], tblProducts[Category])</f>
        <v>Fashion</v>
      </c>
      <c r="H451" s="22">
        <f>_xlfn.XLOOKUP(tblAnalysis[[#This Row],[Product ID]], tblProducts[Product ID], tblProducts[Unit Price])</f>
        <v>75</v>
      </c>
      <c r="I451" s="22">
        <f>_xlfn.XLOOKUP(tblAnalysis[[#This Row],[Product ID]], tblProducts[Product ID], tblProducts[Unit Cost])</f>
        <v>40</v>
      </c>
      <c r="J451" t="str">
        <f>_xlfn.XLOOKUP(tblAnalysis[[#This Row],[Rep ID]], tblReps[Rep ID], tblReps[Sales Rep])</f>
        <v>David</v>
      </c>
      <c r="K451" t="str">
        <f>_xlfn.XLOOKUP(tblAnalysis[[#This Row],[Rep ID]], tblReps[Rep ID], tblReps[Region])</f>
        <v>Houston</v>
      </c>
      <c r="L451" s="22">
        <f>tblAnalysis[[#This Row],[Quantity]]*tblAnalysis[[#This Row],[Unit Price]]</f>
        <v>150</v>
      </c>
      <c r="M451" s="22">
        <f>tblAnalysis[[#This Row],[Quantity]]*(tblAnalysis[[#This Row],[Unit Price]]-tblAnalysis[[#This Row],[Unit Cost]])</f>
        <v>70</v>
      </c>
    </row>
    <row r="452" spans="1:13">
      <c r="A452" t="s">
        <v>506</v>
      </c>
      <c r="B452" s="1">
        <v>45928</v>
      </c>
      <c r="C452" t="s">
        <v>41</v>
      </c>
      <c r="D452" t="s">
        <v>5</v>
      </c>
      <c r="E452">
        <v>10</v>
      </c>
      <c r="F452" t="str">
        <f>_xlfn.XLOOKUP(tblAnalysis[[#This Row],[Product ID]], tblProducts[Product ID], tblProducts[Product Name])</f>
        <v>Headset</v>
      </c>
      <c r="G452" t="str">
        <f>_xlfn.XLOOKUP(tblAnalysis[[#This Row],[Product ID]], tblProducts[Product ID], tblProducts[Category])</f>
        <v>Electronics</v>
      </c>
      <c r="H452" s="22">
        <f>_xlfn.XLOOKUP(tblAnalysis[[#This Row],[Product ID]], tblProducts[Product ID], tblProducts[Unit Price])</f>
        <v>75</v>
      </c>
      <c r="I452" s="22">
        <f>_xlfn.XLOOKUP(tblAnalysis[[#This Row],[Product ID]], tblProducts[Product ID], tblProducts[Unit Cost])</f>
        <v>45</v>
      </c>
      <c r="J452" t="str">
        <f>_xlfn.XLOOKUP(tblAnalysis[[#This Row],[Rep ID]], tblReps[Rep ID], tblReps[Sales Rep])</f>
        <v>Sarah</v>
      </c>
      <c r="K452" t="str">
        <f>_xlfn.XLOOKUP(tblAnalysis[[#This Row],[Rep ID]], tblReps[Rep ID], tblReps[Region])</f>
        <v>Chicago</v>
      </c>
      <c r="L452" s="22">
        <f>tblAnalysis[[#This Row],[Quantity]]*tblAnalysis[[#This Row],[Unit Price]]</f>
        <v>750</v>
      </c>
      <c r="M452" s="22">
        <f>tblAnalysis[[#This Row],[Quantity]]*(tblAnalysis[[#This Row],[Unit Price]]-tblAnalysis[[#This Row],[Unit Cost]])</f>
        <v>300</v>
      </c>
    </row>
    <row r="453" spans="1:13">
      <c r="A453" t="s">
        <v>507</v>
      </c>
      <c r="B453" s="1">
        <v>45928</v>
      </c>
      <c r="C453" t="s">
        <v>33</v>
      </c>
      <c r="D453" t="s">
        <v>17</v>
      </c>
      <c r="E453">
        <v>1</v>
      </c>
      <c r="F453" t="str">
        <f>_xlfn.XLOOKUP(tblAnalysis[[#This Row],[Product ID]], tblProducts[Product ID], tblProducts[Product Name])</f>
        <v>Iron</v>
      </c>
      <c r="G453" t="str">
        <f>_xlfn.XLOOKUP(tblAnalysis[[#This Row],[Product ID]], tblProducts[Product ID], tblProducts[Category])</f>
        <v>Home &amp; Living</v>
      </c>
      <c r="H453" s="22">
        <f>_xlfn.XLOOKUP(tblAnalysis[[#This Row],[Product ID]], tblProducts[Product ID], tblProducts[Unit Price])</f>
        <v>35</v>
      </c>
      <c r="I453" s="22">
        <f>_xlfn.XLOOKUP(tblAnalysis[[#This Row],[Product ID]], tblProducts[Product ID], tblProducts[Unit Cost])</f>
        <v>20</v>
      </c>
      <c r="J453" t="str">
        <f>_xlfn.XLOOKUP(tblAnalysis[[#This Row],[Rep ID]], tblReps[Rep ID], tblReps[Sales Rep])</f>
        <v>John</v>
      </c>
      <c r="K453" t="str">
        <f>_xlfn.XLOOKUP(tblAnalysis[[#This Row],[Rep ID]], tblReps[Rep ID], tblReps[Region])</f>
        <v>New York</v>
      </c>
      <c r="L453" s="22">
        <f>tblAnalysis[[#This Row],[Quantity]]*tblAnalysis[[#This Row],[Unit Price]]</f>
        <v>35</v>
      </c>
      <c r="M453" s="22">
        <f>tblAnalysis[[#This Row],[Quantity]]*(tblAnalysis[[#This Row],[Unit Price]]-tblAnalysis[[#This Row],[Unit Cost]])</f>
        <v>15</v>
      </c>
    </row>
    <row r="454" spans="1:13">
      <c r="A454" t="s">
        <v>508</v>
      </c>
      <c r="B454" s="1">
        <v>45928</v>
      </c>
      <c r="C454" t="s">
        <v>33</v>
      </c>
      <c r="D454" t="s">
        <v>14</v>
      </c>
      <c r="E454">
        <v>4</v>
      </c>
      <c r="F454" t="str">
        <f>_xlfn.XLOOKUP(tblAnalysis[[#This Row],[Product ID]], tblProducts[Product ID], tblProducts[Product Name])</f>
        <v>Blender</v>
      </c>
      <c r="G454" t="str">
        <f>_xlfn.XLOOKUP(tblAnalysis[[#This Row],[Product ID]], tblProducts[Product ID], tblProducts[Category])</f>
        <v>Home &amp; Living</v>
      </c>
      <c r="H454" s="22">
        <f>_xlfn.XLOOKUP(tblAnalysis[[#This Row],[Product ID]], tblProducts[Product ID], tblProducts[Unit Price])</f>
        <v>50</v>
      </c>
      <c r="I454" s="22">
        <f>_xlfn.XLOOKUP(tblAnalysis[[#This Row],[Product ID]], tblProducts[Product ID], tblProducts[Unit Cost])</f>
        <v>30</v>
      </c>
      <c r="J454" t="str">
        <f>_xlfn.XLOOKUP(tblAnalysis[[#This Row],[Rep ID]], tblReps[Rep ID], tblReps[Sales Rep])</f>
        <v>John</v>
      </c>
      <c r="K454" t="str">
        <f>_xlfn.XLOOKUP(tblAnalysis[[#This Row],[Rep ID]], tblReps[Rep ID], tblReps[Region])</f>
        <v>New York</v>
      </c>
      <c r="L454" s="22">
        <f>tblAnalysis[[#This Row],[Quantity]]*tblAnalysis[[#This Row],[Unit Price]]</f>
        <v>200</v>
      </c>
      <c r="M454" s="22">
        <f>tblAnalysis[[#This Row],[Quantity]]*(tblAnalysis[[#This Row],[Unit Price]]-tblAnalysis[[#This Row],[Unit Cost]])</f>
        <v>80</v>
      </c>
    </row>
    <row r="455" spans="1:13">
      <c r="A455" t="s">
        <v>509</v>
      </c>
      <c r="B455" s="1">
        <v>45928</v>
      </c>
      <c r="C455" t="s">
        <v>49</v>
      </c>
      <c r="D455" t="s">
        <v>21</v>
      </c>
      <c r="E455">
        <v>10</v>
      </c>
      <c r="F455" t="str">
        <f>_xlfn.XLOOKUP(tblAnalysis[[#This Row],[Product ID]], tblProducts[Product ID], tblProducts[Product Name])</f>
        <v>T-Shirt</v>
      </c>
      <c r="G455" t="str">
        <f>_xlfn.XLOOKUP(tblAnalysis[[#This Row],[Product ID]], tblProducts[Product ID], tblProducts[Category])</f>
        <v>Fashion</v>
      </c>
      <c r="H455" s="22">
        <f>_xlfn.XLOOKUP(tblAnalysis[[#This Row],[Product ID]], tblProducts[Product ID], tblProducts[Unit Price])</f>
        <v>20</v>
      </c>
      <c r="I455" s="22">
        <f>_xlfn.XLOOKUP(tblAnalysis[[#This Row],[Product ID]], tblProducts[Product ID], tblProducts[Unit Cost])</f>
        <v>8</v>
      </c>
      <c r="J455" t="str">
        <f>_xlfn.XLOOKUP(tblAnalysis[[#This Row],[Rep ID]], tblReps[Rep ID], tblReps[Sales Rep])</f>
        <v>Emma</v>
      </c>
      <c r="K455" t="str">
        <f>_xlfn.XLOOKUP(tblAnalysis[[#This Row],[Rep ID]], tblReps[Rep ID], tblReps[Region])</f>
        <v>Miami</v>
      </c>
      <c r="L455" s="22">
        <f>tblAnalysis[[#This Row],[Quantity]]*tblAnalysis[[#This Row],[Unit Price]]</f>
        <v>200</v>
      </c>
      <c r="M455" s="22">
        <f>tblAnalysis[[#This Row],[Quantity]]*(tblAnalysis[[#This Row],[Unit Price]]-tblAnalysis[[#This Row],[Unit Cost]])</f>
        <v>120</v>
      </c>
    </row>
    <row r="456" spans="1:13">
      <c r="A456" t="s">
        <v>510</v>
      </c>
      <c r="B456" s="1">
        <v>45929</v>
      </c>
      <c r="C456" t="s">
        <v>49</v>
      </c>
      <c r="D456" t="s">
        <v>12</v>
      </c>
      <c r="E456">
        <v>7</v>
      </c>
      <c r="F456" t="str">
        <f>_xlfn.XLOOKUP(tblAnalysis[[#This Row],[Product ID]], tblProducts[Product ID], tblProducts[Product Name])</f>
        <v>Webcam</v>
      </c>
      <c r="G456" t="str">
        <f>_xlfn.XLOOKUP(tblAnalysis[[#This Row],[Product ID]], tblProducts[Product ID], tblProducts[Category])</f>
        <v>Electronics</v>
      </c>
      <c r="H456" s="22">
        <f>_xlfn.XLOOKUP(tblAnalysis[[#This Row],[Product ID]], tblProducts[Product ID], tblProducts[Unit Price])</f>
        <v>60</v>
      </c>
      <c r="I456" s="22">
        <f>_xlfn.XLOOKUP(tblAnalysis[[#This Row],[Product ID]], tblProducts[Product ID], tblProducts[Unit Cost])</f>
        <v>35</v>
      </c>
      <c r="J456" t="str">
        <f>_xlfn.XLOOKUP(tblAnalysis[[#This Row],[Rep ID]], tblReps[Rep ID], tblReps[Sales Rep])</f>
        <v>Emma</v>
      </c>
      <c r="K456" t="str">
        <f>_xlfn.XLOOKUP(tblAnalysis[[#This Row],[Rep ID]], tblReps[Rep ID], tblReps[Region])</f>
        <v>Miami</v>
      </c>
      <c r="L456" s="22">
        <f>tblAnalysis[[#This Row],[Quantity]]*tblAnalysis[[#This Row],[Unit Price]]</f>
        <v>420</v>
      </c>
      <c r="M456" s="22">
        <f>tblAnalysis[[#This Row],[Quantity]]*(tblAnalysis[[#This Row],[Unit Price]]-tblAnalysis[[#This Row],[Unit Cost]])</f>
        <v>175</v>
      </c>
    </row>
    <row r="457" spans="1:13">
      <c r="A457" t="s">
        <v>511</v>
      </c>
      <c r="B457" s="1">
        <v>45930</v>
      </c>
      <c r="C457" t="s">
        <v>33</v>
      </c>
      <c r="D457" t="s">
        <v>8</v>
      </c>
      <c r="E457">
        <v>8</v>
      </c>
      <c r="F457" t="str">
        <f>_xlfn.XLOOKUP(tblAnalysis[[#This Row],[Product ID]], tblProducts[Product ID], tblProducts[Product Name])</f>
        <v>Mouse</v>
      </c>
      <c r="G457" t="str">
        <f>_xlfn.XLOOKUP(tblAnalysis[[#This Row],[Product ID]], tblProducts[Product ID], tblProducts[Category])</f>
        <v>Electronics</v>
      </c>
      <c r="H457" s="22">
        <f>_xlfn.XLOOKUP(tblAnalysis[[#This Row],[Product ID]], tblProducts[Product ID], tblProducts[Unit Price])</f>
        <v>25</v>
      </c>
      <c r="I457" s="22">
        <f>_xlfn.XLOOKUP(tblAnalysis[[#This Row],[Product ID]], tblProducts[Product ID], tblProducts[Unit Cost])</f>
        <v>12</v>
      </c>
      <c r="J457" t="str">
        <f>_xlfn.XLOOKUP(tblAnalysis[[#This Row],[Rep ID]], tblReps[Rep ID], tblReps[Sales Rep])</f>
        <v>John</v>
      </c>
      <c r="K457" t="str">
        <f>_xlfn.XLOOKUP(tblAnalysis[[#This Row],[Rep ID]], tblReps[Rep ID], tblReps[Region])</f>
        <v>New York</v>
      </c>
      <c r="L457" s="22">
        <f>tblAnalysis[[#This Row],[Quantity]]*tblAnalysis[[#This Row],[Unit Price]]</f>
        <v>200</v>
      </c>
      <c r="M457" s="22">
        <f>tblAnalysis[[#This Row],[Quantity]]*(tblAnalysis[[#This Row],[Unit Price]]-tblAnalysis[[#This Row],[Unit Cost]])</f>
        <v>104</v>
      </c>
    </row>
    <row r="458" spans="1:13">
      <c r="A458" t="s">
        <v>512</v>
      </c>
      <c r="B458" s="1">
        <v>45930</v>
      </c>
      <c r="C458" t="s">
        <v>49</v>
      </c>
      <c r="D458" t="s">
        <v>8</v>
      </c>
      <c r="E458">
        <v>5</v>
      </c>
      <c r="F458" t="str">
        <f>_xlfn.XLOOKUP(tblAnalysis[[#This Row],[Product ID]], tblProducts[Product ID], tblProducts[Product Name])</f>
        <v>Mouse</v>
      </c>
      <c r="G458" t="str">
        <f>_xlfn.XLOOKUP(tblAnalysis[[#This Row],[Product ID]], tblProducts[Product ID], tblProducts[Category])</f>
        <v>Electronics</v>
      </c>
      <c r="H458" s="22">
        <f>_xlfn.XLOOKUP(tblAnalysis[[#This Row],[Product ID]], tblProducts[Product ID], tblProducts[Unit Price])</f>
        <v>25</v>
      </c>
      <c r="I458" s="22">
        <f>_xlfn.XLOOKUP(tblAnalysis[[#This Row],[Product ID]], tblProducts[Product ID], tblProducts[Unit Cost])</f>
        <v>12</v>
      </c>
      <c r="J458" t="str">
        <f>_xlfn.XLOOKUP(tblAnalysis[[#This Row],[Rep ID]], tblReps[Rep ID], tblReps[Sales Rep])</f>
        <v>Emma</v>
      </c>
      <c r="K458" t="str">
        <f>_xlfn.XLOOKUP(tblAnalysis[[#This Row],[Rep ID]], tblReps[Rep ID], tblReps[Region])</f>
        <v>Miami</v>
      </c>
      <c r="L458" s="22">
        <f>tblAnalysis[[#This Row],[Quantity]]*tblAnalysis[[#This Row],[Unit Price]]</f>
        <v>125</v>
      </c>
      <c r="M458" s="22">
        <f>tblAnalysis[[#This Row],[Quantity]]*(tblAnalysis[[#This Row],[Unit Price]]-tblAnalysis[[#This Row],[Unit Cost]])</f>
        <v>65</v>
      </c>
    </row>
    <row r="459" spans="1:13">
      <c r="A459" t="s">
        <v>513</v>
      </c>
      <c r="B459" s="1">
        <v>45931</v>
      </c>
      <c r="C459" t="s">
        <v>45</v>
      </c>
      <c r="D459" t="s">
        <v>21</v>
      </c>
      <c r="E459">
        <v>7</v>
      </c>
      <c r="F459" t="str">
        <f>_xlfn.XLOOKUP(tblAnalysis[[#This Row],[Product ID]], tblProducts[Product ID], tblProducts[Product Name])</f>
        <v>T-Shirt</v>
      </c>
      <c r="G459" t="str">
        <f>_xlfn.XLOOKUP(tblAnalysis[[#This Row],[Product ID]], tblProducts[Product ID], tblProducts[Category])</f>
        <v>Fashion</v>
      </c>
      <c r="H459" s="22">
        <f>_xlfn.XLOOKUP(tblAnalysis[[#This Row],[Product ID]], tblProducts[Product ID], tblProducts[Unit Price])</f>
        <v>20</v>
      </c>
      <c r="I459" s="22">
        <f>_xlfn.XLOOKUP(tblAnalysis[[#This Row],[Product ID]], tblProducts[Product ID], tblProducts[Unit Cost])</f>
        <v>8</v>
      </c>
      <c r="J459" t="str">
        <f>_xlfn.XLOOKUP(tblAnalysis[[#This Row],[Rep ID]], tblReps[Rep ID], tblReps[Sales Rep])</f>
        <v>David</v>
      </c>
      <c r="K459" t="str">
        <f>_xlfn.XLOOKUP(tblAnalysis[[#This Row],[Rep ID]], tblReps[Rep ID], tblReps[Region])</f>
        <v>Houston</v>
      </c>
      <c r="L459" s="22">
        <f>tblAnalysis[[#This Row],[Quantity]]*tblAnalysis[[#This Row],[Unit Price]]</f>
        <v>140</v>
      </c>
      <c r="M459" s="22">
        <f>tblAnalysis[[#This Row],[Quantity]]*(tblAnalysis[[#This Row],[Unit Price]]-tblAnalysis[[#This Row],[Unit Cost]])</f>
        <v>84</v>
      </c>
    </row>
    <row r="460" spans="1:13">
      <c r="A460" t="s">
        <v>514</v>
      </c>
      <c r="B460" s="1">
        <v>45932</v>
      </c>
      <c r="C460" t="s">
        <v>41</v>
      </c>
      <c r="D460" t="s">
        <v>14</v>
      </c>
      <c r="E460">
        <v>5</v>
      </c>
      <c r="F460" t="str">
        <f>_xlfn.XLOOKUP(tblAnalysis[[#This Row],[Product ID]], tblProducts[Product ID], tblProducts[Product Name])</f>
        <v>Blender</v>
      </c>
      <c r="G460" t="str">
        <f>_xlfn.XLOOKUP(tblAnalysis[[#This Row],[Product ID]], tblProducts[Product ID], tblProducts[Category])</f>
        <v>Home &amp; Living</v>
      </c>
      <c r="H460" s="22">
        <f>_xlfn.XLOOKUP(tblAnalysis[[#This Row],[Product ID]], tblProducts[Product ID], tblProducts[Unit Price])</f>
        <v>50</v>
      </c>
      <c r="I460" s="22">
        <f>_xlfn.XLOOKUP(tblAnalysis[[#This Row],[Product ID]], tblProducts[Product ID], tblProducts[Unit Cost])</f>
        <v>30</v>
      </c>
      <c r="J460" t="str">
        <f>_xlfn.XLOOKUP(tblAnalysis[[#This Row],[Rep ID]], tblReps[Rep ID], tblReps[Sales Rep])</f>
        <v>Sarah</v>
      </c>
      <c r="K460" t="str">
        <f>_xlfn.XLOOKUP(tblAnalysis[[#This Row],[Rep ID]], tblReps[Rep ID], tblReps[Region])</f>
        <v>Chicago</v>
      </c>
      <c r="L460" s="22">
        <f>tblAnalysis[[#This Row],[Quantity]]*tblAnalysis[[#This Row],[Unit Price]]</f>
        <v>250</v>
      </c>
      <c r="M460" s="22">
        <f>tblAnalysis[[#This Row],[Quantity]]*(tblAnalysis[[#This Row],[Unit Price]]-tblAnalysis[[#This Row],[Unit Cost]])</f>
        <v>100</v>
      </c>
    </row>
    <row r="461" spans="1:13">
      <c r="A461" t="s">
        <v>515</v>
      </c>
      <c r="B461" s="1">
        <v>45934</v>
      </c>
      <c r="C461" t="s">
        <v>45</v>
      </c>
      <c r="D461" t="s">
        <v>14</v>
      </c>
      <c r="E461">
        <v>1</v>
      </c>
      <c r="F461" t="str">
        <f>_xlfn.XLOOKUP(tblAnalysis[[#This Row],[Product ID]], tblProducts[Product ID], tblProducts[Product Name])</f>
        <v>Blender</v>
      </c>
      <c r="G461" t="str">
        <f>_xlfn.XLOOKUP(tblAnalysis[[#This Row],[Product ID]], tblProducts[Product ID], tblProducts[Category])</f>
        <v>Home &amp; Living</v>
      </c>
      <c r="H461" s="22">
        <f>_xlfn.XLOOKUP(tblAnalysis[[#This Row],[Product ID]], tblProducts[Product ID], tblProducts[Unit Price])</f>
        <v>50</v>
      </c>
      <c r="I461" s="22">
        <f>_xlfn.XLOOKUP(tblAnalysis[[#This Row],[Product ID]], tblProducts[Product ID], tblProducts[Unit Cost])</f>
        <v>30</v>
      </c>
      <c r="J461" t="str">
        <f>_xlfn.XLOOKUP(tblAnalysis[[#This Row],[Rep ID]], tblReps[Rep ID], tblReps[Sales Rep])</f>
        <v>David</v>
      </c>
      <c r="K461" t="str">
        <f>_xlfn.XLOOKUP(tblAnalysis[[#This Row],[Rep ID]], tblReps[Rep ID], tblReps[Region])</f>
        <v>Houston</v>
      </c>
      <c r="L461" s="22">
        <f>tblAnalysis[[#This Row],[Quantity]]*tblAnalysis[[#This Row],[Unit Price]]</f>
        <v>50</v>
      </c>
      <c r="M461" s="22">
        <f>tblAnalysis[[#This Row],[Quantity]]*(tblAnalysis[[#This Row],[Unit Price]]-tblAnalysis[[#This Row],[Unit Cost]])</f>
        <v>20</v>
      </c>
    </row>
    <row r="462" spans="1:13">
      <c r="A462" t="s">
        <v>516</v>
      </c>
      <c r="B462" s="1">
        <v>45934</v>
      </c>
      <c r="C462" t="s">
        <v>41</v>
      </c>
      <c r="D462" t="s">
        <v>26</v>
      </c>
      <c r="E462">
        <v>8</v>
      </c>
      <c r="F462" t="str">
        <f>_xlfn.XLOOKUP(tblAnalysis[[#This Row],[Product ID]], tblProducts[Product ID], tblProducts[Product Name])</f>
        <v>Shoes</v>
      </c>
      <c r="G462" t="str">
        <f>_xlfn.XLOOKUP(tblAnalysis[[#This Row],[Product ID]], tblProducts[Product ID], tblProducts[Category])</f>
        <v>Fashion</v>
      </c>
      <c r="H462" s="22">
        <f>_xlfn.XLOOKUP(tblAnalysis[[#This Row],[Product ID]], tblProducts[Product ID], tblProducts[Unit Price])</f>
        <v>75</v>
      </c>
      <c r="I462" s="22">
        <f>_xlfn.XLOOKUP(tblAnalysis[[#This Row],[Product ID]], tblProducts[Product ID], tblProducts[Unit Cost])</f>
        <v>40</v>
      </c>
      <c r="J462" t="str">
        <f>_xlfn.XLOOKUP(tblAnalysis[[#This Row],[Rep ID]], tblReps[Rep ID], tblReps[Sales Rep])</f>
        <v>Sarah</v>
      </c>
      <c r="K462" t="str">
        <f>_xlfn.XLOOKUP(tblAnalysis[[#This Row],[Rep ID]], tblReps[Rep ID], tblReps[Region])</f>
        <v>Chicago</v>
      </c>
      <c r="L462" s="22">
        <f>tblAnalysis[[#This Row],[Quantity]]*tblAnalysis[[#This Row],[Unit Price]]</f>
        <v>600</v>
      </c>
      <c r="M462" s="22">
        <f>tblAnalysis[[#This Row],[Quantity]]*(tblAnalysis[[#This Row],[Unit Price]]-tblAnalysis[[#This Row],[Unit Cost]])</f>
        <v>280</v>
      </c>
    </row>
    <row r="463" spans="1:13">
      <c r="A463" t="s">
        <v>517</v>
      </c>
      <c r="B463" s="1">
        <v>45934</v>
      </c>
      <c r="C463" t="s">
        <v>33</v>
      </c>
      <c r="D463" t="s">
        <v>12</v>
      </c>
      <c r="E463">
        <v>4</v>
      </c>
      <c r="F463" t="str">
        <f>_xlfn.XLOOKUP(tblAnalysis[[#This Row],[Product ID]], tblProducts[Product ID], tblProducts[Product Name])</f>
        <v>Webcam</v>
      </c>
      <c r="G463" t="str">
        <f>_xlfn.XLOOKUP(tblAnalysis[[#This Row],[Product ID]], tblProducts[Product ID], tblProducts[Category])</f>
        <v>Electronics</v>
      </c>
      <c r="H463" s="22">
        <f>_xlfn.XLOOKUP(tblAnalysis[[#This Row],[Product ID]], tblProducts[Product ID], tblProducts[Unit Price])</f>
        <v>60</v>
      </c>
      <c r="I463" s="22">
        <f>_xlfn.XLOOKUP(tblAnalysis[[#This Row],[Product ID]], tblProducts[Product ID], tblProducts[Unit Cost])</f>
        <v>35</v>
      </c>
      <c r="J463" t="str">
        <f>_xlfn.XLOOKUP(tblAnalysis[[#This Row],[Rep ID]], tblReps[Rep ID], tblReps[Sales Rep])</f>
        <v>John</v>
      </c>
      <c r="K463" t="str">
        <f>_xlfn.XLOOKUP(tblAnalysis[[#This Row],[Rep ID]], tblReps[Rep ID], tblReps[Region])</f>
        <v>New York</v>
      </c>
      <c r="L463" s="22">
        <f>tblAnalysis[[#This Row],[Quantity]]*tblAnalysis[[#This Row],[Unit Price]]</f>
        <v>240</v>
      </c>
      <c r="M463" s="22">
        <f>tblAnalysis[[#This Row],[Quantity]]*(tblAnalysis[[#This Row],[Unit Price]]-tblAnalysis[[#This Row],[Unit Cost]])</f>
        <v>100</v>
      </c>
    </row>
    <row r="464" spans="1:13">
      <c r="A464" t="s">
        <v>518</v>
      </c>
      <c r="B464" s="1">
        <v>45934</v>
      </c>
      <c r="C464" t="s">
        <v>49</v>
      </c>
      <c r="D464" t="s">
        <v>17</v>
      </c>
      <c r="E464">
        <v>4</v>
      </c>
      <c r="F464" t="str">
        <f>_xlfn.XLOOKUP(tblAnalysis[[#This Row],[Product ID]], tblProducts[Product ID], tblProducts[Product Name])</f>
        <v>Iron</v>
      </c>
      <c r="G464" t="str">
        <f>_xlfn.XLOOKUP(tblAnalysis[[#This Row],[Product ID]], tblProducts[Product ID], tblProducts[Category])</f>
        <v>Home &amp; Living</v>
      </c>
      <c r="H464" s="22">
        <f>_xlfn.XLOOKUP(tblAnalysis[[#This Row],[Product ID]], tblProducts[Product ID], tblProducts[Unit Price])</f>
        <v>35</v>
      </c>
      <c r="I464" s="22">
        <f>_xlfn.XLOOKUP(tblAnalysis[[#This Row],[Product ID]], tblProducts[Product ID], tblProducts[Unit Cost])</f>
        <v>20</v>
      </c>
      <c r="J464" t="str">
        <f>_xlfn.XLOOKUP(tblAnalysis[[#This Row],[Rep ID]], tblReps[Rep ID], tblReps[Sales Rep])</f>
        <v>Emma</v>
      </c>
      <c r="K464" t="str">
        <f>_xlfn.XLOOKUP(tblAnalysis[[#This Row],[Rep ID]], tblReps[Rep ID], tblReps[Region])</f>
        <v>Miami</v>
      </c>
      <c r="L464" s="22">
        <f>tblAnalysis[[#This Row],[Quantity]]*tblAnalysis[[#This Row],[Unit Price]]</f>
        <v>140</v>
      </c>
      <c r="M464" s="22">
        <f>tblAnalysis[[#This Row],[Quantity]]*(tblAnalysis[[#This Row],[Unit Price]]-tblAnalysis[[#This Row],[Unit Cost]])</f>
        <v>60</v>
      </c>
    </row>
    <row r="465" spans="1:13">
      <c r="A465" t="s">
        <v>519</v>
      </c>
      <c r="B465" s="1">
        <v>45935</v>
      </c>
      <c r="C465" t="s">
        <v>41</v>
      </c>
      <c r="D465" t="s">
        <v>10</v>
      </c>
      <c r="E465">
        <v>4</v>
      </c>
      <c r="F465" t="str">
        <f>_xlfn.XLOOKUP(tblAnalysis[[#This Row],[Product ID]], tblProducts[Product ID], tblProducts[Product Name])</f>
        <v>Keyboard</v>
      </c>
      <c r="G465" t="str">
        <f>_xlfn.XLOOKUP(tblAnalysis[[#This Row],[Product ID]], tblProducts[Product ID], tblProducts[Category])</f>
        <v>Electronics</v>
      </c>
      <c r="H465" s="22">
        <f>_xlfn.XLOOKUP(tblAnalysis[[#This Row],[Product ID]], tblProducts[Product ID], tblProducts[Unit Price])</f>
        <v>40</v>
      </c>
      <c r="I465" s="22">
        <f>_xlfn.XLOOKUP(tblAnalysis[[#This Row],[Product ID]], tblProducts[Product ID], tblProducts[Unit Cost])</f>
        <v>22</v>
      </c>
      <c r="J465" t="str">
        <f>_xlfn.XLOOKUP(tblAnalysis[[#This Row],[Rep ID]], tblReps[Rep ID], tblReps[Sales Rep])</f>
        <v>Sarah</v>
      </c>
      <c r="K465" t="str">
        <f>_xlfn.XLOOKUP(tblAnalysis[[#This Row],[Rep ID]], tblReps[Rep ID], tblReps[Region])</f>
        <v>Chicago</v>
      </c>
      <c r="L465" s="22">
        <f>tblAnalysis[[#This Row],[Quantity]]*tblAnalysis[[#This Row],[Unit Price]]</f>
        <v>160</v>
      </c>
      <c r="M465" s="22">
        <f>tblAnalysis[[#This Row],[Quantity]]*(tblAnalysis[[#This Row],[Unit Price]]-tblAnalysis[[#This Row],[Unit Cost]])</f>
        <v>72</v>
      </c>
    </row>
    <row r="466" spans="1:13">
      <c r="A466" t="s">
        <v>520</v>
      </c>
      <c r="B466" s="1">
        <v>45936</v>
      </c>
      <c r="C466" t="s">
        <v>41</v>
      </c>
      <c r="D466" t="s">
        <v>17</v>
      </c>
      <c r="E466">
        <v>2</v>
      </c>
      <c r="F466" t="str">
        <f>_xlfn.XLOOKUP(tblAnalysis[[#This Row],[Product ID]], tblProducts[Product ID], tblProducts[Product Name])</f>
        <v>Iron</v>
      </c>
      <c r="G466" t="str">
        <f>_xlfn.XLOOKUP(tblAnalysis[[#This Row],[Product ID]], tblProducts[Product ID], tblProducts[Category])</f>
        <v>Home &amp; Living</v>
      </c>
      <c r="H466" s="22">
        <f>_xlfn.XLOOKUP(tblAnalysis[[#This Row],[Product ID]], tblProducts[Product ID], tblProducts[Unit Price])</f>
        <v>35</v>
      </c>
      <c r="I466" s="22">
        <f>_xlfn.XLOOKUP(tblAnalysis[[#This Row],[Product ID]], tblProducts[Product ID], tblProducts[Unit Cost])</f>
        <v>20</v>
      </c>
      <c r="J466" t="str">
        <f>_xlfn.XLOOKUP(tblAnalysis[[#This Row],[Rep ID]], tblReps[Rep ID], tblReps[Sales Rep])</f>
        <v>Sarah</v>
      </c>
      <c r="K466" t="str">
        <f>_xlfn.XLOOKUP(tblAnalysis[[#This Row],[Rep ID]], tblReps[Rep ID], tblReps[Region])</f>
        <v>Chicago</v>
      </c>
      <c r="L466" s="22">
        <f>tblAnalysis[[#This Row],[Quantity]]*tblAnalysis[[#This Row],[Unit Price]]</f>
        <v>70</v>
      </c>
      <c r="M466" s="22">
        <f>tblAnalysis[[#This Row],[Quantity]]*(tblAnalysis[[#This Row],[Unit Price]]-tblAnalysis[[#This Row],[Unit Cost]])</f>
        <v>30</v>
      </c>
    </row>
    <row r="467" spans="1:13">
      <c r="A467" t="s">
        <v>521</v>
      </c>
      <c r="B467" s="1">
        <v>45936</v>
      </c>
      <c r="C467" t="s">
        <v>37</v>
      </c>
      <c r="D467" t="s">
        <v>14</v>
      </c>
      <c r="E467">
        <v>6</v>
      </c>
      <c r="F467" t="str">
        <f>_xlfn.XLOOKUP(tblAnalysis[[#This Row],[Product ID]], tblProducts[Product ID], tblProducts[Product Name])</f>
        <v>Blender</v>
      </c>
      <c r="G467" t="str">
        <f>_xlfn.XLOOKUP(tblAnalysis[[#This Row],[Product ID]], tblProducts[Product ID], tblProducts[Category])</f>
        <v>Home &amp; Living</v>
      </c>
      <c r="H467" s="22">
        <f>_xlfn.XLOOKUP(tblAnalysis[[#This Row],[Product ID]], tblProducts[Product ID], tblProducts[Unit Price])</f>
        <v>50</v>
      </c>
      <c r="I467" s="22">
        <f>_xlfn.XLOOKUP(tblAnalysis[[#This Row],[Product ID]], tblProducts[Product ID], tblProducts[Unit Cost])</f>
        <v>30</v>
      </c>
      <c r="J467" t="str">
        <f>_xlfn.XLOOKUP(tblAnalysis[[#This Row],[Rep ID]], tblReps[Rep ID], tblReps[Sales Rep])</f>
        <v>Mike</v>
      </c>
      <c r="K467" t="str">
        <f>_xlfn.XLOOKUP(tblAnalysis[[#This Row],[Rep ID]], tblReps[Rep ID], tblReps[Region])</f>
        <v>Los Angeles</v>
      </c>
      <c r="L467" s="22">
        <f>tblAnalysis[[#This Row],[Quantity]]*tblAnalysis[[#This Row],[Unit Price]]</f>
        <v>300</v>
      </c>
      <c r="M467" s="22">
        <f>tblAnalysis[[#This Row],[Quantity]]*(tblAnalysis[[#This Row],[Unit Price]]-tblAnalysis[[#This Row],[Unit Cost]])</f>
        <v>120</v>
      </c>
    </row>
    <row r="468" spans="1:13">
      <c r="A468" t="s">
        <v>522</v>
      </c>
      <c r="B468" s="1">
        <v>45937</v>
      </c>
      <c r="C468" t="s">
        <v>41</v>
      </c>
      <c r="D468" t="s">
        <v>21</v>
      </c>
      <c r="E468">
        <v>4</v>
      </c>
      <c r="F468" t="str">
        <f>_xlfn.XLOOKUP(tblAnalysis[[#This Row],[Product ID]], tblProducts[Product ID], tblProducts[Product Name])</f>
        <v>T-Shirt</v>
      </c>
      <c r="G468" t="str">
        <f>_xlfn.XLOOKUP(tblAnalysis[[#This Row],[Product ID]], tblProducts[Product ID], tblProducts[Category])</f>
        <v>Fashion</v>
      </c>
      <c r="H468" s="22">
        <f>_xlfn.XLOOKUP(tblAnalysis[[#This Row],[Product ID]], tblProducts[Product ID], tblProducts[Unit Price])</f>
        <v>20</v>
      </c>
      <c r="I468" s="22">
        <f>_xlfn.XLOOKUP(tblAnalysis[[#This Row],[Product ID]], tblProducts[Product ID], tblProducts[Unit Cost])</f>
        <v>8</v>
      </c>
      <c r="J468" t="str">
        <f>_xlfn.XLOOKUP(tblAnalysis[[#This Row],[Rep ID]], tblReps[Rep ID], tblReps[Sales Rep])</f>
        <v>Sarah</v>
      </c>
      <c r="K468" t="str">
        <f>_xlfn.XLOOKUP(tblAnalysis[[#This Row],[Rep ID]], tblReps[Rep ID], tblReps[Region])</f>
        <v>Chicago</v>
      </c>
      <c r="L468" s="22">
        <f>tblAnalysis[[#This Row],[Quantity]]*tblAnalysis[[#This Row],[Unit Price]]</f>
        <v>80</v>
      </c>
      <c r="M468" s="22">
        <f>tblAnalysis[[#This Row],[Quantity]]*(tblAnalysis[[#This Row],[Unit Price]]-tblAnalysis[[#This Row],[Unit Cost]])</f>
        <v>48</v>
      </c>
    </row>
    <row r="469" spans="1:13">
      <c r="A469" t="s">
        <v>523</v>
      </c>
      <c r="B469" s="1">
        <v>45937</v>
      </c>
      <c r="C469" t="s">
        <v>37</v>
      </c>
      <c r="D469" t="s">
        <v>17</v>
      </c>
      <c r="E469">
        <v>7</v>
      </c>
      <c r="F469" t="str">
        <f>_xlfn.XLOOKUP(tblAnalysis[[#This Row],[Product ID]], tblProducts[Product ID], tblProducts[Product Name])</f>
        <v>Iron</v>
      </c>
      <c r="G469" t="str">
        <f>_xlfn.XLOOKUP(tblAnalysis[[#This Row],[Product ID]], tblProducts[Product ID], tblProducts[Category])</f>
        <v>Home &amp; Living</v>
      </c>
      <c r="H469" s="22">
        <f>_xlfn.XLOOKUP(tblAnalysis[[#This Row],[Product ID]], tblProducts[Product ID], tblProducts[Unit Price])</f>
        <v>35</v>
      </c>
      <c r="I469" s="22">
        <f>_xlfn.XLOOKUP(tblAnalysis[[#This Row],[Product ID]], tblProducts[Product ID], tblProducts[Unit Cost])</f>
        <v>20</v>
      </c>
      <c r="J469" t="str">
        <f>_xlfn.XLOOKUP(tblAnalysis[[#This Row],[Rep ID]], tblReps[Rep ID], tblReps[Sales Rep])</f>
        <v>Mike</v>
      </c>
      <c r="K469" t="str">
        <f>_xlfn.XLOOKUP(tblAnalysis[[#This Row],[Rep ID]], tblReps[Rep ID], tblReps[Region])</f>
        <v>Los Angeles</v>
      </c>
      <c r="L469" s="22">
        <f>tblAnalysis[[#This Row],[Quantity]]*tblAnalysis[[#This Row],[Unit Price]]</f>
        <v>245</v>
      </c>
      <c r="M469" s="22">
        <f>tblAnalysis[[#This Row],[Quantity]]*(tblAnalysis[[#This Row],[Unit Price]]-tblAnalysis[[#This Row],[Unit Cost]])</f>
        <v>105</v>
      </c>
    </row>
    <row r="470" spans="1:13">
      <c r="A470" t="s">
        <v>524</v>
      </c>
      <c r="B470" s="1">
        <v>45937</v>
      </c>
      <c r="C470" t="s">
        <v>33</v>
      </c>
      <c r="D470" t="s">
        <v>21</v>
      </c>
      <c r="E470">
        <v>2</v>
      </c>
      <c r="F470" t="str">
        <f>_xlfn.XLOOKUP(tblAnalysis[[#This Row],[Product ID]], tblProducts[Product ID], tblProducts[Product Name])</f>
        <v>T-Shirt</v>
      </c>
      <c r="G470" t="str">
        <f>_xlfn.XLOOKUP(tblAnalysis[[#This Row],[Product ID]], tblProducts[Product ID], tblProducts[Category])</f>
        <v>Fashion</v>
      </c>
      <c r="H470" s="22">
        <f>_xlfn.XLOOKUP(tblAnalysis[[#This Row],[Product ID]], tblProducts[Product ID], tblProducts[Unit Price])</f>
        <v>20</v>
      </c>
      <c r="I470" s="22">
        <f>_xlfn.XLOOKUP(tblAnalysis[[#This Row],[Product ID]], tblProducts[Product ID], tblProducts[Unit Cost])</f>
        <v>8</v>
      </c>
      <c r="J470" t="str">
        <f>_xlfn.XLOOKUP(tblAnalysis[[#This Row],[Rep ID]], tblReps[Rep ID], tblReps[Sales Rep])</f>
        <v>John</v>
      </c>
      <c r="K470" t="str">
        <f>_xlfn.XLOOKUP(tblAnalysis[[#This Row],[Rep ID]], tblReps[Rep ID], tblReps[Region])</f>
        <v>New York</v>
      </c>
      <c r="L470" s="22">
        <f>tblAnalysis[[#This Row],[Quantity]]*tblAnalysis[[#This Row],[Unit Price]]</f>
        <v>40</v>
      </c>
      <c r="M470" s="22">
        <f>tblAnalysis[[#This Row],[Quantity]]*(tblAnalysis[[#This Row],[Unit Price]]-tblAnalysis[[#This Row],[Unit Cost]])</f>
        <v>24</v>
      </c>
    </row>
    <row r="471" spans="1:13">
      <c r="A471" t="s">
        <v>525</v>
      </c>
      <c r="B471" s="1">
        <v>45937</v>
      </c>
      <c r="C471" t="s">
        <v>37</v>
      </c>
      <c r="D471" t="s">
        <v>24</v>
      </c>
      <c r="E471">
        <v>1</v>
      </c>
      <c r="F471" t="str">
        <f>_xlfn.XLOOKUP(tblAnalysis[[#This Row],[Product ID]], tblProducts[Product ID], tblProducts[Product Name])</f>
        <v>Pants</v>
      </c>
      <c r="G471" t="str">
        <f>_xlfn.XLOOKUP(tblAnalysis[[#This Row],[Product ID]], tblProducts[Product ID], tblProducts[Category])</f>
        <v>Fashion</v>
      </c>
      <c r="H471" s="22">
        <f>_xlfn.XLOOKUP(tblAnalysis[[#This Row],[Product ID]], tblProducts[Product ID], tblProducts[Unit Price])</f>
        <v>40</v>
      </c>
      <c r="I471" s="22">
        <f>_xlfn.XLOOKUP(tblAnalysis[[#This Row],[Product ID]], tblProducts[Product ID], tblProducts[Unit Cost])</f>
        <v>18</v>
      </c>
      <c r="J471" t="str">
        <f>_xlfn.XLOOKUP(tblAnalysis[[#This Row],[Rep ID]], tblReps[Rep ID], tblReps[Sales Rep])</f>
        <v>Mike</v>
      </c>
      <c r="K471" t="str">
        <f>_xlfn.XLOOKUP(tblAnalysis[[#This Row],[Rep ID]], tblReps[Rep ID], tblReps[Region])</f>
        <v>Los Angeles</v>
      </c>
      <c r="L471" s="22">
        <f>tblAnalysis[[#This Row],[Quantity]]*tblAnalysis[[#This Row],[Unit Price]]</f>
        <v>40</v>
      </c>
      <c r="M471" s="22">
        <f>tblAnalysis[[#This Row],[Quantity]]*(tblAnalysis[[#This Row],[Unit Price]]-tblAnalysis[[#This Row],[Unit Cost]])</f>
        <v>22</v>
      </c>
    </row>
    <row r="472" spans="1:13">
      <c r="A472" t="s">
        <v>526</v>
      </c>
      <c r="B472" s="1">
        <v>45937</v>
      </c>
      <c r="C472" t="s">
        <v>45</v>
      </c>
      <c r="D472" t="s">
        <v>14</v>
      </c>
      <c r="E472">
        <v>5</v>
      </c>
      <c r="F472" t="str">
        <f>_xlfn.XLOOKUP(tblAnalysis[[#This Row],[Product ID]], tblProducts[Product ID], tblProducts[Product Name])</f>
        <v>Blender</v>
      </c>
      <c r="G472" t="str">
        <f>_xlfn.XLOOKUP(tblAnalysis[[#This Row],[Product ID]], tblProducts[Product ID], tblProducts[Category])</f>
        <v>Home &amp; Living</v>
      </c>
      <c r="H472" s="22">
        <f>_xlfn.XLOOKUP(tblAnalysis[[#This Row],[Product ID]], tblProducts[Product ID], tblProducts[Unit Price])</f>
        <v>50</v>
      </c>
      <c r="I472" s="22">
        <f>_xlfn.XLOOKUP(tblAnalysis[[#This Row],[Product ID]], tblProducts[Product ID], tblProducts[Unit Cost])</f>
        <v>30</v>
      </c>
      <c r="J472" t="str">
        <f>_xlfn.XLOOKUP(tblAnalysis[[#This Row],[Rep ID]], tblReps[Rep ID], tblReps[Sales Rep])</f>
        <v>David</v>
      </c>
      <c r="K472" t="str">
        <f>_xlfn.XLOOKUP(tblAnalysis[[#This Row],[Rep ID]], tblReps[Rep ID], tblReps[Region])</f>
        <v>Houston</v>
      </c>
      <c r="L472" s="22">
        <f>tblAnalysis[[#This Row],[Quantity]]*tblAnalysis[[#This Row],[Unit Price]]</f>
        <v>250</v>
      </c>
      <c r="M472" s="22">
        <f>tblAnalysis[[#This Row],[Quantity]]*(tblAnalysis[[#This Row],[Unit Price]]-tblAnalysis[[#This Row],[Unit Cost]])</f>
        <v>100</v>
      </c>
    </row>
    <row r="473" spans="1:13">
      <c r="A473" t="s">
        <v>527</v>
      </c>
      <c r="B473" s="1">
        <v>45938</v>
      </c>
      <c r="C473" t="s">
        <v>41</v>
      </c>
      <c r="D473" t="s">
        <v>17</v>
      </c>
      <c r="E473">
        <v>3</v>
      </c>
      <c r="F473" t="str">
        <f>_xlfn.XLOOKUP(tblAnalysis[[#This Row],[Product ID]], tblProducts[Product ID], tblProducts[Product Name])</f>
        <v>Iron</v>
      </c>
      <c r="G473" t="str">
        <f>_xlfn.XLOOKUP(tblAnalysis[[#This Row],[Product ID]], tblProducts[Product ID], tblProducts[Category])</f>
        <v>Home &amp; Living</v>
      </c>
      <c r="H473" s="22">
        <f>_xlfn.XLOOKUP(tblAnalysis[[#This Row],[Product ID]], tblProducts[Product ID], tblProducts[Unit Price])</f>
        <v>35</v>
      </c>
      <c r="I473" s="22">
        <f>_xlfn.XLOOKUP(tblAnalysis[[#This Row],[Product ID]], tblProducts[Product ID], tblProducts[Unit Cost])</f>
        <v>20</v>
      </c>
      <c r="J473" t="str">
        <f>_xlfn.XLOOKUP(tblAnalysis[[#This Row],[Rep ID]], tblReps[Rep ID], tblReps[Sales Rep])</f>
        <v>Sarah</v>
      </c>
      <c r="K473" t="str">
        <f>_xlfn.XLOOKUP(tblAnalysis[[#This Row],[Rep ID]], tblReps[Rep ID], tblReps[Region])</f>
        <v>Chicago</v>
      </c>
      <c r="L473" s="22">
        <f>tblAnalysis[[#This Row],[Quantity]]*tblAnalysis[[#This Row],[Unit Price]]</f>
        <v>105</v>
      </c>
      <c r="M473" s="22">
        <f>tblAnalysis[[#This Row],[Quantity]]*(tblAnalysis[[#This Row],[Unit Price]]-tblAnalysis[[#This Row],[Unit Cost]])</f>
        <v>45</v>
      </c>
    </row>
    <row r="474" spans="1:13">
      <c r="A474" t="s">
        <v>528</v>
      </c>
      <c r="B474" s="1">
        <v>45940</v>
      </c>
      <c r="C474" t="s">
        <v>33</v>
      </c>
      <c r="D474" t="s">
        <v>19</v>
      </c>
      <c r="E474">
        <v>3</v>
      </c>
      <c r="F474" t="str">
        <f>_xlfn.XLOOKUP(tblAnalysis[[#This Row],[Product ID]], tblProducts[Product ID], tblProducts[Product Name])</f>
        <v>Fan</v>
      </c>
      <c r="G474" t="str">
        <f>_xlfn.XLOOKUP(tblAnalysis[[#This Row],[Product ID]], tblProducts[Product ID], tblProducts[Category])</f>
        <v>Home &amp; Living</v>
      </c>
      <c r="H474" s="22">
        <f>_xlfn.XLOOKUP(tblAnalysis[[#This Row],[Product ID]], tblProducts[Product ID], tblProducts[Unit Price])</f>
        <v>45</v>
      </c>
      <c r="I474" s="22">
        <f>_xlfn.XLOOKUP(tblAnalysis[[#This Row],[Product ID]], tblProducts[Product ID], tblProducts[Unit Cost])</f>
        <v>25</v>
      </c>
      <c r="J474" t="str">
        <f>_xlfn.XLOOKUP(tblAnalysis[[#This Row],[Rep ID]], tblReps[Rep ID], tblReps[Sales Rep])</f>
        <v>John</v>
      </c>
      <c r="K474" t="str">
        <f>_xlfn.XLOOKUP(tblAnalysis[[#This Row],[Rep ID]], tblReps[Rep ID], tblReps[Region])</f>
        <v>New York</v>
      </c>
      <c r="L474" s="22">
        <f>tblAnalysis[[#This Row],[Quantity]]*tblAnalysis[[#This Row],[Unit Price]]</f>
        <v>135</v>
      </c>
      <c r="M474" s="22">
        <f>tblAnalysis[[#This Row],[Quantity]]*(tblAnalysis[[#This Row],[Unit Price]]-tblAnalysis[[#This Row],[Unit Cost]])</f>
        <v>60</v>
      </c>
    </row>
    <row r="475" spans="1:13">
      <c r="A475" t="s">
        <v>529</v>
      </c>
      <c r="B475" s="1">
        <v>45940</v>
      </c>
      <c r="C475" t="s">
        <v>45</v>
      </c>
      <c r="D475" t="s">
        <v>21</v>
      </c>
      <c r="E475">
        <v>3</v>
      </c>
      <c r="F475" t="str">
        <f>_xlfn.XLOOKUP(tblAnalysis[[#This Row],[Product ID]], tblProducts[Product ID], tblProducts[Product Name])</f>
        <v>T-Shirt</v>
      </c>
      <c r="G475" t="str">
        <f>_xlfn.XLOOKUP(tblAnalysis[[#This Row],[Product ID]], tblProducts[Product ID], tblProducts[Category])</f>
        <v>Fashion</v>
      </c>
      <c r="H475" s="22">
        <f>_xlfn.XLOOKUP(tblAnalysis[[#This Row],[Product ID]], tblProducts[Product ID], tblProducts[Unit Price])</f>
        <v>20</v>
      </c>
      <c r="I475" s="22">
        <f>_xlfn.XLOOKUP(tblAnalysis[[#This Row],[Product ID]], tblProducts[Product ID], tblProducts[Unit Cost])</f>
        <v>8</v>
      </c>
      <c r="J475" t="str">
        <f>_xlfn.XLOOKUP(tblAnalysis[[#This Row],[Rep ID]], tblReps[Rep ID], tblReps[Sales Rep])</f>
        <v>David</v>
      </c>
      <c r="K475" t="str">
        <f>_xlfn.XLOOKUP(tblAnalysis[[#This Row],[Rep ID]], tblReps[Rep ID], tblReps[Region])</f>
        <v>Houston</v>
      </c>
      <c r="L475" s="22">
        <f>tblAnalysis[[#This Row],[Quantity]]*tblAnalysis[[#This Row],[Unit Price]]</f>
        <v>60</v>
      </c>
      <c r="M475" s="22">
        <f>tblAnalysis[[#This Row],[Quantity]]*(tblAnalysis[[#This Row],[Unit Price]]-tblAnalysis[[#This Row],[Unit Cost]])</f>
        <v>36</v>
      </c>
    </row>
    <row r="476" spans="1:13">
      <c r="A476" t="s">
        <v>530</v>
      </c>
      <c r="B476" s="1">
        <v>45940</v>
      </c>
      <c r="C476" t="s">
        <v>41</v>
      </c>
      <c r="D476" t="s">
        <v>19</v>
      </c>
      <c r="E476">
        <v>3</v>
      </c>
      <c r="F476" t="str">
        <f>_xlfn.XLOOKUP(tblAnalysis[[#This Row],[Product ID]], tblProducts[Product ID], tblProducts[Product Name])</f>
        <v>Fan</v>
      </c>
      <c r="G476" t="str">
        <f>_xlfn.XLOOKUP(tblAnalysis[[#This Row],[Product ID]], tblProducts[Product ID], tblProducts[Category])</f>
        <v>Home &amp; Living</v>
      </c>
      <c r="H476" s="22">
        <f>_xlfn.XLOOKUP(tblAnalysis[[#This Row],[Product ID]], tblProducts[Product ID], tblProducts[Unit Price])</f>
        <v>45</v>
      </c>
      <c r="I476" s="22">
        <f>_xlfn.XLOOKUP(tblAnalysis[[#This Row],[Product ID]], tblProducts[Product ID], tblProducts[Unit Cost])</f>
        <v>25</v>
      </c>
      <c r="J476" t="str">
        <f>_xlfn.XLOOKUP(tblAnalysis[[#This Row],[Rep ID]], tblReps[Rep ID], tblReps[Sales Rep])</f>
        <v>Sarah</v>
      </c>
      <c r="K476" t="str">
        <f>_xlfn.XLOOKUP(tblAnalysis[[#This Row],[Rep ID]], tblReps[Rep ID], tblReps[Region])</f>
        <v>Chicago</v>
      </c>
      <c r="L476" s="22">
        <f>tblAnalysis[[#This Row],[Quantity]]*tblAnalysis[[#This Row],[Unit Price]]</f>
        <v>135</v>
      </c>
      <c r="M476" s="22">
        <f>tblAnalysis[[#This Row],[Quantity]]*(tblAnalysis[[#This Row],[Unit Price]]-tblAnalysis[[#This Row],[Unit Cost]])</f>
        <v>60</v>
      </c>
    </row>
    <row r="477" spans="1:13">
      <c r="A477" t="s">
        <v>531</v>
      </c>
      <c r="B477" s="1">
        <v>45941</v>
      </c>
      <c r="C477" t="s">
        <v>37</v>
      </c>
      <c r="D477" t="s">
        <v>26</v>
      </c>
      <c r="E477">
        <v>8</v>
      </c>
      <c r="F477" t="str">
        <f>_xlfn.XLOOKUP(tblAnalysis[[#This Row],[Product ID]], tblProducts[Product ID], tblProducts[Product Name])</f>
        <v>Shoes</v>
      </c>
      <c r="G477" t="str">
        <f>_xlfn.XLOOKUP(tblAnalysis[[#This Row],[Product ID]], tblProducts[Product ID], tblProducts[Category])</f>
        <v>Fashion</v>
      </c>
      <c r="H477" s="22">
        <f>_xlfn.XLOOKUP(tblAnalysis[[#This Row],[Product ID]], tblProducts[Product ID], tblProducts[Unit Price])</f>
        <v>75</v>
      </c>
      <c r="I477" s="22">
        <f>_xlfn.XLOOKUP(tblAnalysis[[#This Row],[Product ID]], tblProducts[Product ID], tblProducts[Unit Cost])</f>
        <v>40</v>
      </c>
      <c r="J477" t="str">
        <f>_xlfn.XLOOKUP(tblAnalysis[[#This Row],[Rep ID]], tblReps[Rep ID], tblReps[Sales Rep])</f>
        <v>Mike</v>
      </c>
      <c r="K477" t="str">
        <f>_xlfn.XLOOKUP(tblAnalysis[[#This Row],[Rep ID]], tblReps[Rep ID], tblReps[Region])</f>
        <v>Los Angeles</v>
      </c>
      <c r="L477" s="22">
        <f>tblAnalysis[[#This Row],[Quantity]]*tblAnalysis[[#This Row],[Unit Price]]</f>
        <v>600</v>
      </c>
      <c r="M477" s="22">
        <f>tblAnalysis[[#This Row],[Quantity]]*(tblAnalysis[[#This Row],[Unit Price]]-tblAnalysis[[#This Row],[Unit Cost]])</f>
        <v>280</v>
      </c>
    </row>
    <row r="478" spans="1:13">
      <c r="A478" t="s">
        <v>532</v>
      </c>
      <c r="B478" s="1">
        <v>45941</v>
      </c>
      <c r="C478" t="s">
        <v>41</v>
      </c>
      <c r="D478" t="s">
        <v>12</v>
      </c>
      <c r="E478">
        <v>9</v>
      </c>
      <c r="F478" t="str">
        <f>_xlfn.XLOOKUP(tblAnalysis[[#This Row],[Product ID]], tblProducts[Product ID], tblProducts[Product Name])</f>
        <v>Webcam</v>
      </c>
      <c r="G478" t="str">
        <f>_xlfn.XLOOKUP(tblAnalysis[[#This Row],[Product ID]], tblProducts[Product ID], tblProducts[Category])</f>
        <v>Electronics</v>
      </c>
      <c r="H478" s="22">
        <f>_xlfn.XLOOKUP(tblAnalysis[[#This Row],[Product ID]], tblProducts[Product ID], tblProducts[Unit Price])</f>
        <v>60</v>
      </c>
      <c r="I478" s="22">
        <f>_xlfn.XLOOKUP(tblAnalysis[[#This Row],[Product ID]], tblProducts[Product ID], tblProducts[Unit Cost])</f>
        <v>35</v>
      </c>
      <c r="J478" t="str">
        <f>_xlfn.XLOOKUP(tblAnalysis[[#This Row],[Rep ID]], tblReps[Rep ID], tblReps[Sales Rep])</f>
        <v>Sarah</v>
      </c>
      <c r="K478" t="str">
        <f>_xlfn.XLOOKUP(tblAnalysis[[#This Row],[Rep ID]], tblReps[Rep ID], tblReps[Region])</f>
        <v>Chicago</v>
      </c>
      <c r="L478" s="22">
        <f>tblAnalysis[[#This Row],[Quantity]]*tblAnalysis[[#This Row],[Unit Price]]</f>
        <v>540</v>
      </c>
      <c r="M478" s="22">
        <f>tblAnalysis[[#This Row],[Quantity]]*(tblAnalysis[[#This Row],[Unit Price]]-tblAnalysis[[#This Row],[Unit Cost]])</f>
        <v>225</v>
      </c>
    </row>
    <row r="479" spans="1:13">
      <c r="A479" t="s">
        <v>533</v>
      </c>
      <c r="B479" s="1">
        <v>45941</v>
      </c>
      <c r="C479" t="s">
        <v>45</v>
      </c>
      <c r="D479" t="s">
        <v>17</v>
      </c>
      <c r="E479">
        <v>7</v>
      </c>
      <c r="F479" t="str">
        <f>_xlfn.XLOOKUP(tblAnalysis[[#This Row],[Product ID]], tblProducts[Product ID], tblProducts[Product Name])</f>
        <v>Iron</v>
      </c>
      <c r="G479" t="str">
        <f>_xlfn.XLOOKUP(tblAnalysis[[#This Row],[Product ID]], tblProducts[Product ID], tblProducts[Category])</f>
        <v>Home &amp; Living</v>
      </c>
      <c r="H479" s="22">
        <f>_xlfn.XLOOKUP(tblAnalysis[[#This Row],[Product ID]], tblProducts[Product ID], tblProducts[Unit Price])</f>
        <v>35</v>
      </c>
      <c r="I479" s="22">
        <f>_xlfn.XLOOKUP(tblAnalysis[[#This Row],[Product ID]], tblProducts[Product ID], tblProducts[Unit Cost])</f>
        <v>20</v>
      </c>
      <c r="J479" t="str">
        <f>_xlfn.XLOOKUP(tblAnalysis[[#This Row],[Rep ID]], tblReps[Rep ID], tblReps[Sales Rep])</f>
        <v>David</v>
      </c>
      <c r="K479" t="str">
        <f>_xlfn.XLOOKUP(tblAnalysis[[#This Row],[Rep ID]], tblReps[Rep ID], tblReps[Region])</f>
        <v>Houston</v>
      </c>
      <c r="L479" s="22">
        <f>tblAnalysis[[#This Row],[Quantity]]*tblAnalysis[[#This Row],[Unit Price]]</f>
        <v>245</v>
      </c>
      <c r="M479" s="22">
        <f>tblAnalysis[[#This Row],[Quantity]]*(tblAnalysis[[#This Row],[Unit Price]]-tblAnalysis[[#This Row],[Unit Cost]])</f>
        <v>105</v>
      </c>
    </row>
    <row r="480" spans="1:13">
      <c r="A480" t="s">
        <v>534</v>
      </c>
      <c r="B480" s="1">
        <v>45941</v>
      </c>
      <c r="C480" t="s">
        <v>33</v>
      </c>
      <c r="D480" t="s">
        <v>26</v>
      </c>
      <c r="E480">
        <v>6</v>
      </c>
      <c r="F480" t="str">
        <f>_xlfn.XLOOKUP(tblAnalysis[[#This Row],[Product ID]], tblProducts[Product ID], tblProducts[Product Name])</f>
        <v>Shoes</v>
      </c>
      <c r="G480" t="str">
        <f>_xlfn.XLOOKUP(tblAnalysis[[#This Row],[Product ID]], tblProducts[Product ID], tblProducts[Category])</f>
        <v>Fashion</v>
      </c>
      <c r="H480" s="22">
        <f>_xlfn.XLOOKUP(tblAnalysis[[#This Row],[Product ID]], tblProducts[Product ID], tblProducts[Unit Price])</f>
        <v>75</v>
      </c>
      <c r="I480" s="22">
        <f>_xlfn.XLOOKUP(tblAnalysis[[#This Row],[Product ID]], tblProducts[Product ID], tblProducts[Unit Cost])</f>
        <v>40</v>
      </c>
      <c r="J480" t="str">
        <f>_xlfn.XLOOKUP(tblAnalysis[[#This Row],[Rep ID]], tblReps[Rep ID], tblReps[Sales Rep])</f>
        <v>John</v>
      </c>
      <c r="K480" t="str">
        <f>_xlfn.XLOOKUP(tblAnalysis[[#This Row],[Rep ID]], tblReps[Rep ID], tblReps[Region])</f>
        <v>New York</v>
      </c>
      <c r="L480" s="22">
        <f>tblAnalysis[[#This Row],[Quantity]]*tblAnalysis[[#This Row],[Unit Price]]</f>
        <v>450</v>
      </c>
      <c r="M480" s="22">
        <f>tblAnalysis[[#This Row],[Quantity]]*(tblAnalysis[[#This Row],[Unit Price]]-tblAnalysis[[#This Row],[Unit Cost]])</f>
        <v>210</v>
      </c>
    </row>
    <row r="481" spans="1:13">
      <c r="A481" t="s">
        <v>535</v>
      </c>
      <c r="B481" s="1">
        <v>45942</v>
      </c>
      <c r="C481" t="s">
        <v>49</v>
      </c>
      <c r="D481" t="s">
        <v>8</v>
      </c>
      <c r="E481">
        <v>9</v>
      </c>
      <c r="F481" t="str">
        <f>_xlfn.XLOOKUP(tblAnalysis[[#This Row],[Product ID]], tblProducts[Product ID], tblProducts[Product Name])</f>
        <v>Mouse</v>
      </c>
      <c r="G481" t="str">
        <f>_xlfn.XLOOKUP(tblAnalysis[[#This Row],[Product ID]], tblProducts[Product ID], tblProducts[Category])</f>
        <v>Electronics</v>
      </c>
      <c r="H481" s="22">
        <f>_xlfn.XLOOKUP(tblAnalysis[[#This Row],[Product ID]], tblProducts[Product ID], tblProducts[Unit Price])</f>
        <v>25</v>
      </c>
      <c r="I481" s="22">
        <f>_xlfn.XLOOKUP(tblAnalysis[[#This Row],[Product ID]], tblProducts[Product ID], tblProducts[Unit Cost])</f>
        <v>12</v>
      </c>
      <c r="J481" t="str">
        <f>_xlfn.XLOOKUP(tblAnalysis[[#This Row],[Rep ID]], tblReps[Rep ID], tblReps[Sales Rep])</f>
        <v>Emma</v>
      </c>
      <c r="K481" t="str">
        <f>_xlfn.XLOOKUP(tblAnalysis[[#This Row],[Rep ID]], tblReps[Rep ID], tblReps[Region])</f>
        <v>Miami</v>
      </c>
      <c r="L481" s="22">
        <f>tblAnalysis[[#This Row],[Quantity]]*tblAnalysis[[#This Row],[Unit Price]]</f>
        <v>225</v>
      </c>
      <c r="M481" s="22">
        <f>tblAnalysis[[#This Row],[Quantity]]*(tblAnalysis[[#This Row],[Unit Price]]-tblAnalysis[[#This Row],[Unit Cost]])</f>
        <v>117</v>
      </c>
    </row>
    <row r="482" spans="1:13">
      <c r="A482" t="s">
        <v>536</v>
      </c>
      <c r="B482" s="1">
        <v>45942</v>
      </c>
      <c r="C482" t="s">
        <v>49</v>
      </c>
      <c r="D482" t="s">
        <v>19</v>
      </c>
      <c r="E482">
        <v>8</v>
      </c>
      <c r="F482" t="str">
        <f>_xlfn.XLOOKUP(tblAnalysis[[#This Row],[Product ID]], tblProducts[Product ID], tblProducts[Product Name])</f>
        <v>Fan</v>
      </c>
      <c r="G482" t="str">
        <f>_xlfn.XLOOKUP(tblAnalysis[[#This Row],[Product ID]], tblProducts[Product ID], tblProducts[Category])</f>
        <v>Home &amp; Living</v>
      </c>
      <c r="H482" s="22">
        <f>_xlfn.XLOOKUP(tblAnalysis[[#This Row],[Product ID]], tblProducts[Product ID], tblProducts[Unit Price])</f>
        <v>45</v>
      </c>
      <c r="I482" s="22">
        <f>_xlfn.XLOOKUP(tblAnalysis[[#This Row],[Product ID]], tblProducts[Product ID], tblProducts[Unit Cost])</f>
        <v>25</v>
      </c>
      <c r="J482" t="str">
        <f>_xlfn.XLOOKUP(tblAnalysis[[#This Row],[Rep ID]], tblReps[Rep ID], tblReps[Sales Rep])</f>
        <v>Emma</v>
      </c>
      <c r="K482" t="str">
        <f>_xlfn.XLOOKUP(tblAnalysis[[#This Row],[Rep ID]], tblReps[Rep ID], tblReps[Region])</f>
        <v>Miami</v>
      </c>
      <c r="L482" s="22">
        <f>tblAnalysis[[#This Row],[Quantity]]*tblAnalysis[[#This Row],[Unit Price]]</f>
        <v>360</v>
      </c>
      <c r="M482" s="22">
        <f>tblAnalysis[[#This Row],[Quantity]]*(tblAnalysis[[#This Row],[Unit Price]]-tblAnalysis[[#This Row],[Unit Cost]])</f>
        <v>160</v>
      </c>
    </row>
    <row r="483" spans="1:13">
      <c r="A483" t="s">
        <v>537</v>
      </c>
      <c r="B483" s="1">
        <v>45943</v>
      </c>
      <c r="C483" t="s">
        <v>49</v>
      </c>
      <c r="D483" t="s">
        <v>21</v>
      </c>
      <c r="E483">
        <v>1</v>
      </c>
      <c r="F483" t="str">
        <f>_xlfn.XLOOKUP(tblAnalysis[[#This Row],[Product ID]], tblProducts[Product ID], tblProducts[Product Name])</f>
        <v>T-Shirt</v>
      </c>
      <c r="G483" t="str">
        <f>_xlfn.XLOOKUP(tblAnalysis[[#This Row],[Product ID]], tblProducts[Product ID], tblProducts[Category])</f>
        <v>Fashion</v>
      </c>
      <c r="H483" s="22">
        <f>_xlfn.XLOOKUP(tblAnalysis[[#This Row],[Product ID]], tblProducts[Product ID], tblProducts[Unit Price])</f>
        <v>20</v>
      </c>
      <c r="I483" s="22">
        <f>_xlfn.XLOOKUP(tblAnalysis[[#This Row],[Product ID]], tblProducts[Product ID], tblProducts[Unit Cost])</f>
        <v>8</v>
      </c>
      <c r="J483" t="str">
        <f>_xlfn.XLOOKUP(tblAnalysis[[#This Row],[Rep ID]], tblReps[Rep ID], tblReps[Sales Rep])</f>
        <v>Emma</v>
      </c>
      <c r="K483" t="str">
        <f>_xlfn.XLOOKUP(tblAnalysis[[#This Row],[Rep ID]], tblReps[Rep ID], tblReps[Region])</f>
        <v>Miami</v>
      </c>
      <c r="L483" s="22">
        <f>tblAnalysis[[#This Row],[Quantity]]*tblAnalysis[[#This Row],[Unit Price]]</f>
        <v>20</v>
      </c>
      <c r="M483" s="22">
        <f>tblAnalysis[[#This Row],[Quantity]]*(tblAnalysis[[#This Row],[Unit Price]]-tblAnalysis[[#This Row],[Unit Cost]])</f>
        <v>12</v>
      </c>
    </row>
    <row r="484" spans="1:13">
      <c r="A484" t="s">
        <v>538</v>
      </c>
      <c r="B484" s="1">
        <v>45943</v>
      </c>
      <c r="C484" t="s">
        <v>45</v>
      </c>
      <c r="D484" t="s">
        <v>12</v>
      </c>
      <c r="E484">
        <v>2</v>
      </c>
      <c r="F484" t="str">
        <f>_xlfn.XLOOKUP(tblAnalysis[[#This Row],[Product ID]], tblProducts[Product ID], tblProducts[Product Name])</f>
        <v>Webcam</v>
      </c>
      <c r="G484" t="str">
        <f>_xlfn.XLOOKUP(tblAnalysis[[#This Row],[Product ID]], tblProducts[Product ID], tblProducts[Category])</f>
        <v>Electronics</v>
      </c>
      <c r="H484" s="22">
        <f>_xlfn.XLOOKUP(tblAnalysis[[#This Row],[Product ID]], tblProducts[Product ID], tblProducts[Unit Price])</f>
        <v>60</v>
      </c>
      <c r="I484" s="22">
        <f>_xlfn.XLOOKUP(tblAnalysis[[#This Row],[Product ID]], tblProducts[Product ID], tblProducts[Unit Cost])</f>
        <v>35</v>
      </c>
      <c r="J484" t="str">
        <f>_xlfn.XLOOKUP(tblAnalysis[[#This Row],[Rep ID]], tblReps[Rep ID], tblReps[Sales Rep])</f>
        <v>David</v>
      </c>
      <c r="K484" t="str">
        <f>_xlfn.XLOOKUP(tblAnalysis[[#This Row],[Rep ID]], tblReps[Rep ID], tblReps[Region])</f>
        <v>Houston</v>
      </c>
      <c r="L484" s="22">
        <f>tblAnalysis[[#This Row],[Quantity]]*tblAnalysis[[#This Row],[Unit Price]]</f>
        <v>120</v>
      </c>
      <c r="M484" s="22">
        <f>tblAnalysis[[#This Row],[Quantity]]*(tblAnalysis[[#This Row],[Unit Price]]-tblAnalysis[[#This Row],[Unit Cost]])</f>
        <v>50</v>
      </c>
    </row>
    <row r="485" spans="1:13">
      <c r="A485" t="s">
        <v>539</v>
      </c>
      <c r="B485" s="1">
        <v>45943</v>
      </c>
      <c r="C485" t="s">
        <v>37</v>
      </c>
      <c r="D485" t="s">
        <v>8</v>
      </c>
      <c r="E485">
        <v>5</v>
      </c>
      <c r="F485" t="str">
        <f>_xlfn.XLOOKUP(tblAnalysis[[#This Row],[Product ID]], tblProducts[Product ID], tblProducts[Product Name])</f>
        <v>Mouse</v>
      </c>
      <c r="G485" t="str">
        <f>_xlfn.XLOOKUP(tblAnalysis[[#This Row],[Product ID]], tblProducts[Product ID], tblProducts[Category])</f>
        <v>Electronics</v>
      </c>
      <c r="H485" s="22">
        <f>_xlfn.XLOOKUP(tblAnalysis[[#This Row],[Product ID]], tblProducts[Product ID], tblProducts[Unit Price])</f>
        <v>25</v>
      </c>
      <c r="I485" s="22">
        <f>_xlfn.XLOOKUP(tblAnalysis[[#This Row],[Product ID]], tblProducts[Product ID], tblProducts[Unit Cost])</f>
        <v>12</v>
      </c>
      <c r="J485" t="str">
        <f>_xlfn.XLOOKUP(tblAnalysis[[#This Row],[Rep ID]], tblReps[Rep ID], tblReps[Sales Rep])</f>
        <v>Mike</v>
      </c>
      <c r="K485" t="str">
        <f>_xlfn.XLOOKUP(tblAnalysis[[#This Row],[Rep ID]], tblReps[Rep ID], tblReps[Region])</f>
        <v>Los Angeles</v>
      </c>
      <c r="L485" s="22">
        <f>tblAnalysis[[#This Row],[Quantity]]*tblAnalysis[[#This Row],[Unit Price]]</f>
        <v>125</v>
      </c>
      <c r="M485" s="22">
        <f>tblAnalysis[[#This Row],[Quantity]]*(tblAnalysis[[#This Row],[Unit Price]]-tblAnalysis[[#This Row],[Unit Cost]])</f>
        <v>65</v>
      </c>
    </row>
    <row r="486" spans="1:13">
      <c r="A486" t="s">
        <v>540</v>
      </c>
      <c r="B486" s="1">
        <v>45945</v>
      </c>
      <c r="C486" t="s">
        <v>37</v>
      </c>
      <c r="D486" t="s">
        <v>10</v>
      </c>
      <c r="E486">
        <v>3</v>
      </c>
      <c r="F486" t="str">
        <f>_xlfn.XLOOKUP(tblAnalysis[[#This Row],[Product ID]], tblProducts[Product ID], tblProducts[Product Name])</f>
        <v>Keyboard</v>
      </c>
      <c r="G486" t="str">
        <f>_xlfn.XLOOKUP(tblAnalysis[[#This Row],[Product ID]], tblProducts[Product ID], tblProducts[Category])</f>
        <v>Electronics</v>
      </c>
      <c r="H486" s="22">
        <f>_xlfn.XLOOKUP(tblAnalysis[[#This Row],[Product ID]], tblProducts[Product ID], tblProducts[Unit Price])</f>
        <v>40</v>
      </c>
      <c r="I486" s="22">
        <f>_xlfn.XLOOKUP(tblAnalysis[[#This Row],[Product ID]], tblProducts[Product ID], tblProducts[Unit Cost])</f>
        <v>22</v>
      </c>
      <c r="J486" t="str">
        <f>_xlfn.XLOOKUP(tblAnalysis[[#This Row],[Rep ID]], tblReps[Rep ID], tblReps[Sales Rep])</f>
        <v>Mike</v>
      </c>
      <c r="K486" t="str">
        <f>_xlfn.XLOOKUP(tblAnalysis[[#This Row],[Rep ID]], tblReps[Rep ID], tblReps[Region])</f>
        <v>Los Angeles</v>
      </c>
      <c r="L486" s="22">
        <f>tblAnalysis[[#This Row],[Quantity]]*tblAnalysis[[#This Row],[Unit Price]]</f>
        <v>120</v>
      </c>
      <c r="M486" s="22">
        <f>tblAnalysis[[#This Row],[Quantity]]*(tblAnalysis[[#This Row],[Unit Price]]-tblAnalysis[[#This Row],[Unit Cost]])</f>
        <v>54</v>
      </c>
    </row>
    <row r="487" spans="1:13">
      <c r="A487" t="s">
        <v>541</v>
      </c>
      <c r="B487" s="1">
        <v>45945</v>
      </c>
      <c r="C487" t="s">
        <v>37</v>
      </c>
      <c r="D487" t="s">
        <v>26</v>
      </c>
      <c r="E487">
        <v>2</v>
      </c>
      <c r="F487" t="str">
        <f>_xlfn.XLOOKUP(tblAnalysis[[#This Row],[Product ID]], tblProducts[Product ID], tblProducts[Product Name])</f>
        <v>Shoes</v>
      </c>
      <c r="G487" t="str">
        <f>_xlfn.XLOOKUP(tblAnalysis[[#This Row],[Product ID]], tblProducts[Product ID], tblProducts[Category])</f>
        <v>Fashion</v>
      </c>
      <c r="H487" s="22">
        <f>_xlfn.XLOOKUP(tblAnalysis[[#This Row],[Product ID]], tblProducts[Product ID], tblProducts[Unit Price])</f>
        <v>75</v>
      </c>
      <c r="I487" s="22">
        <f>_xlfn.XLOOKUP(tblAnalysis[[#This Row],[Product ID]], tblProducts[Product ID], tblProducts[Unit Cost])</f>
        <v>40</v>
      </c>
      <c r="J487" t="str">
        <f>_xlfn.XLOOKUP(tblAnalysis[[#This Row],[Rep ID]], tblReps[Rep ID], tblReps[Sales Rep])</f>
        <v>Mike</v>
      </c>
      <c r="K487" t="str">
        <f>_xlfn.XLOOKUP(tblAnalysis[[#This Row],[Rep ID]], tblReps[Rep ID], tblReps[Region])</f>
        <v>Los Angeles</v>
      </c>
      <c r="L487" s="22">
        <f>tblAnalysis[[#This Row],[Quantity]]*tblAnalysis[[#This Row],[Unit Price]]</f>
        <v>150</v>
      </c>
      <c r="M487" s="22">
        <f>tblAnalysis[[#This Row],[Quantity]]*(tblAnalysis[[#This Row],[Unit Price]]-tblAnalysis[[#This Row],[Unit Cost]])</f>
        <v>70</v>
      </c>
    </row>
    <row r="488" spans="1:13">
      <c r="A488" t="s">
        <v>542</v>
      </c>
      <c r="B488" s="1">
        <v>45946</v>
      </c>
      <c r="C488" t="s">
        <v>37</v>
      </c>
      <c r="D488" t="s">
        <v>17</v>
      </c>
      <c r="E488">
        <v>5</v>
      </c>
      <c r="F488" t="str">
        <f>_xlfn.XLOOKUP(tblAnalysis[[#This Row],[Product ID]], tblProducts[Product ID], tblProducts[Product Name])</f>
        <v>Iron</v>
      </c>
      <c r="G488" t="str">
        <f>_xlfn.XLOOKUP(tblAnalysis[[#This Row],[Product ID]], tblProducts[Product ID], tblProducts[Category])</f>
        <v>Home &amp; Living</v>
      </c>
      <c r="H488" s="22">
        <f>_xlfn.XLOOKUP(tblAnalysis[[#This Row],[Product ID]], tblProducts[Product ID], tblProducts[Unit Price])</f>
        <v>35</v>
      </c>
      <c r="I488" s="22">
        <f>_xlfn.XLOOKUP(tblAnalysis[[#This Row],[Product ID]], tblProducts[Product ID], tblProducts[Unit Cost])</f>
        <v>20</v>
      </c>
      <c r="J488" t="str">
        <f>_xlfn.XLOOKUP(tblAnalysis[[#This Row],[Rep ID]], tblReps[Rep ID], tblReps[Sales Rep])</f>
        <v>Mike</v>
      </c>
      <c r="K488" t="str">
        <f>_xlfn.XLOOKUP(tblAnalysis[[#This Row],[Rep ID]], tblReps[Rep ID], tblReps[Region])</f>
        <v>Los Angeles</v>
      </c>
      <c r="L488" s="22">
        <f>tblAnalysis[[#This Row],[Quantity]]*tblAnalysis[[#This Row],[Unit Price]]</f>
        <v>175</v>
      </c>
      <c r="M488" s="22">
        <f>tblAnalysis[[#This Row],[Quantity]]*(tblAnalysis[[#This Row],[Unit Price]]-tblAnalysis[[#This Row],[Unit Cost]])</f>
        <v>75</v>
      </c>
    </row>
    <row r="489" spans="1:13">
      <c r="A489" t="s">
        <v>543</v>
      </c>
      <c r="B489" s="1">
        <v>45946</v>
      </c>
      <c r="C489" t="s">
        <v>37</v>
      </c>
      <c r="D489" t="s">
        <v>24</v>
      </c>
      <c r="E489">
        <v>2</v>
      </c>
      <c r="F489" t="str">
        <f>_xlfn.XLOOKUP(tblAnalysis[[#This Row],[Product ID]], tblProducts[Product ID], tblProducts[Product Name])</f>
        <v>Pants</v>
      </c>
      <c r="G489" t="str">
        <f>_xlfn.XLOOKUP(tblAnalysis[[#This Row],[Product ID]], tblProducts[Product ID], tblProducts[Category])</f>
        <v>Fashion</v>
      </c>
      <c r="H489" s="22">
        <f>_xlfn.XLOOKUP(tblAnalysis[[#This Row],[Product ID]], tblProducts[Product ID], tblProducts[Unit Price])</f>
        <v>40</v>
      </c>
      <c r="I489" s="22">
        <f>_xlfn.XLOOKUP(tblAnalysis[[#This Row],[Product ID]], tblProducts[Product ID], tblProducts[Unit Cost])</f>
        <v>18</v>
      </c>
      <c r="J489" t="str">
        <f>_xlfn.XLOOKUP(tblAnalysis[[#This Row],[Rep ID]], tblReps[Rep ID], tblReps[Sales Rep])</f>
        <v>Mike</v>
      </c>
      <c r="K489" t="str">
        <f>_xlfn.XLOOKUP(tblAnalysis[[#This Row],[Rep ID]], tblReps[Rep ID], tblReps[Region])</f>
        <v>Los Angeles</v>
      </c>
      <c r="L489" s="22">
        <f>tblAnalysis[[#This Row],[Quantity]]*tblAnalysis[[#This Row],[Unit Price]]</f>
        <v>80</v>
      </c>
      <c r="M489" s="22">
        <f>tblAnalysis[[#This Row],[Quantity]]*(tblAnalysis[[#This Row],[Unit Price]]-tblAnalysis[[#This Row],[Unit Cost]])</f>
        <v>44</v>
      </c>
    </row>
    <row r="490" spans="1:13">
      <c r="A490" t="s">
        <v>544</v>
      </c>
      <c r="B490" s="1">
        <v>45946</v>
      </c>
      <c r="C490" t="s">
        <v>41</v>
      </c>
      <c r="D490" t="s">
        <v>14</v>
      </c>
      <c r="E490">
        <v>6</v>
      </c>
      <c r="F490" t="str">
        <f>_xlfn.XLOOKUP(tblAnalysis[[#This Row],[Product ID]], tblProducts[Product ID], tblProducts[Product Name])</f>
        <v>Blender</v>
      </c>
      <c r="G490" t="str">
        <f>_xlfn.XLOOKUP(tblAnalysis[[#This Row],[Product ID]], tblProducts[Product ID], tblProducts[Category])</f>
        <v>Home &amp; Living</v>
      </c>
      <c r="H490" s="22">
        <f>_xlfn.XLOOKUP(tblAnalysis[[#This Row],[Product ID]], tblProducts[Product ID], tblProducts[Unit Price])</f>
        <v>50</v>
      </c>
      <c r="I490" s="22">
        <f>_xlfn.XLOOKUP(tblAnalysis[[#This Row],[Product ID]], tblProducts[Product ID], tblProducts[Unit Cost])</f>
        <v>30</v>
      </c>
      <c r="J490" t="str">
        <f>_xlfn.XLOOKUP(tblAnalysis[[#This Row],[Rep ID]], tblReps[Rep ID], tblReps[Sales Rep])</f>
        <v>Sarah</v>
      </c>
      <c r="K490" t="str">
        <f>_xlfn.XLOOKUP(tblAnalysis[[#This Row],[Rep ID]], tblReps[Rep ID], tblReps[Region])</f>
        <v>Chicago</v>
      </c>
      <c r="L490" s="22">
        <f>tblAnalysis[[#This Row],[Quantity]]*tblAnalysis[[#This Row],[Unit Price]]</f>
        <v>300</v>
      </c>
      <c r="M490" s="22">
        <f>tblAnalysis[[#This Row],[Quantity]]*(tblAnalysis[[#This Row],[Unit Price]]-tblAnalysis[[#This Row],[Unit Cost]])</f>
        <v>120</v>
      </c>
    </row>
    <row r="491" spans="1:13">
      <c r="A491" t="s">
        <v>545</v>
      </c>
      <c r="B491" s="1">
        <v>45947</v>
      </c>
      <c r="C491" t="s">
        <v>49</v>
      </c>
      <c r="D491" t="s">
        <v>8</v>
      </c>
      <c r="E491">
        <v>3</v>
      </c>
      <c r="F491" t="str">
        <f>_xlfn.XLOOKUP(tblAnalysis[[#This Row],[Product ID]], tblProducts[Product ID], tblProducts[Product Name])</f>
        <v>Mouse</v>
      </c>
      <c r="G491" t="str">
        <f>_xlfn.XLOOKUP(tblAnalysis[[#This Row],[Product ID]], tblProducts[Product ID], tblProducts[Category])</f>
        <v>Electronics</v>
      </c>
      <c r="H491" s="22">
        <f>_xlfn.XLOOKUP(tblAnalysis[[#This Row],[Product ID]], tblProducts[Product ID], tblProducts[Unit Price])</f>
        <v>25</v>
      </c>
      <c r="I491" s="22">
        <f>_xlfn.XLOOKUP(tblAnalysis[[#This Row],[Product ID]], tblProducts[Product ID], tblProducts[Unit Cost])</f>
        <v>12</v>
      </c>
      <c r="J491" t="str">
        <f>_xlfn.XLOOKUP(tblAnalysis[[#This Row],[Rep ID]], tblReps[Rep ID], tblReps[Sales Rep])</f>
        <v>Emma</v>
      </c>
      <c r="K491" t="str">
        <f>_xlfn.XLOOKUP(tblAnalysis[[#This Row],[Rep ID]], tblReps[Rep ID], tblReps[Region])</f>
        <v>Miami</v>
      </c>
      <c r="L491" s="22">
        <f>tblAnalysis[[#This Row],[Quantity]]*tblAnalysis[[#This Row],[Unit Price]]</f>
        <v>75</v>
      </c>
      <c r="M491" s="22">
        <f>tblAnalysis[[#This Row],[Quantity]]*(tblAnalysis[[#This Row],[Unit Price]]-tblAnalysis[[#This Row],[Unit Cost]])</f>
        <v>39</v>
      </c>
    </row>
    <row r="492" spans="1:13">
      <c r="A492" t="s">
        <v>546</v>
      </c>
      <c r="B492" s="1">
        <v>45947</v>
      </c>
      <c r="C492" t="s">
        <v>41</v>
      </c>
      <c r="D492" t="s">
        <v>17</v>
      </c>
      <c r="E492">
        <v>10</v>
      </c>
      <c r="F492" t="str">
        <f>_xlfn.XLOOKUP(tblAnalysis[[#This Row],[Product ID]], tblProducts[Product ID], tblProducts[Product Name])</f>
        <v>Iron</v>
      </c>
      <c r="G492" t="str">
        <f>_xlfn.XLOOKUP(tblAnalysis[[#This Row],[Product ID]], tblProducts[Product ID], tblProducts[Category])</f>
        <v>Home &amp; Living</v>
      </c>
      <c r="H492" s="22">
        <f>_xlfn.XLOOKUP(tblAnalysis[[#This Row],[Product ID]], tblProducts[Product ID], tblProducts[Unit Price])</f>
        <v>35</v>
      </c>
      <c r="I492" s="22">
        <f>_xlfn.XLOOKUP(tblAnalysis[[#This Row],[Product ID]], tblProducts[Product ID], tblProducts[Unit Cost])</f>
        <v>20</v>
      </c>
      <c r="J492" t="str">
        <f>_xlfn.XLOOKUP(tblAnalysis[[#This Row],[Rep ID]], tblReps[Rep ID], tblReps[Sales Rep])</f>
        <v>Sarah</v>
      </c>
      <c r="K492" t="str">
        <f>_xlfn.XLOOKUP(tblAnalysis[[#This Row],[Rep ID]], tblReps[Rep ID], tblReps[Region])</f>
        <v>Chicago</v>
      </c>
      <c r="L492" s="22">
        <f>tblAnalysis[[#This Row],[Quantity]]*tblAnalysis[[#This Row],[Unit Price]]</f>
        <v>350</v>
      </c>
      <c r="M492" s="22">
        <f>tblAnalysis[[#This Row],[Quantity]]*(tblAnalysis[[#This Row],[Unit Price]]-tblAnalysis[[#This Row],[Unit Cost]])</f>
        <v>150</v>
      </c>
    </row>
    <row r="493" spans="1:13">
      <c r="A493" t="s">
        <v>547</v>
      </c>
      <c r="B493" s="1">
        <v>45950</v>
      </c>
      <c r="C493" t="s">
        <v>45</v>
      </c>
      <c r="D493" t="s">
        <v>8</v>
      </c>
      <c r="E493">
        <v>5</v>
      </c>
      <c r="F493" t="str">
        <f>_xlfn.XLOOKUP(tblAnalysis[[#This Row],[Product ID]], tblProducts[Product ID], tblProducts[Product Name])</f>
        <v>Mouse</v>
      </c>
      <c r="G493" t="str">
        <f>_xlfn.XLOOKUP(tblAnalysis[[#This Row],[Product ID]], tblProducts[Product ID], tblProducts[Category])</f>
        <v>Electronics</v>
      </c>
      <c r="H493" s="22">
        <f>_xlfn.XLOOKUP(tblAnalysis[[#This Row],[Product ID]], tblProducts[Product ID], tblProducts[Unit Price])</f>
        <v>25</v>
      </c>
      <c r="I493" s="22">
        <f>_xlfn.XLOOKUP(tblAnalysis[[#This Row],[Product ID]], tblProducts[Product ID], tblProducts[Unit Cost])</f>
        <v>12</v>
      </c>
      <c r="J493" t="str">
        <f>_xlfn.XLOOKUP(tblAnalysis[[#This Row],[Rep ID]], tblReps[Rep ID], tblReps[Sales Rep])</f>
        <v>David</v>
      </c>
      <c r="K493" t="str">
        <f>_xlfn.XLOOKUP(tblAnalysis[[#This Row],[Rep ID]], tblReps[Rep ID], tblReps[Region])</f>
        <v>Houston</v>
      </c>
      <c r="L493" s="22">
        <f>tblAnalysis[[#This Row],[Quantity]]*tblAnalysis[[#This Row],[Unit Price]]</f>
        <v>125</v>
      </c>
      <c r="M493" s="22">
        <f>tblAnalysis[[#This Row],[Quantity]]*(tblAnalysis[[#This Row],[Unit Price]]-tblAnalysis[[#This Row],[Unit Cost]])</f>
        <v>65</v>
      </c>
    </row>
    <row r="494" spans="1:13">
      <c r="A494" t="s">
        <v>548</v>
      </c>
      <c r="B494" s="1">
        <v>45951</v>
      </c>
      <c r="C494" t="s">
        <v>33</v>
      </c>
      <c r="D494" t="s">
        <v>5</v>
      </c>
      <c r="E494">
        <v>5</v>
      </c>
      <c r="F494" t="str">
        <f>_xlfn.XLOOKUP(tblAnalysis[[#This Row],[Product ID]], tblProducts[Product ID], tblProducts[Product Name])</f>
        <v>Headset</v>
      </c>
      <c r="G494" t="str">
        <f>_xlfn.XLOOKUP(tblAnalysis[[#This Row],[Product ID]], tblProducts[Product ID], tblProducts[Category])</f>
        <v>Electronics</v>
      </c>
      <c r="H494" s="22">
        <f>_xlfn.XLOOKUP(tblAnalysis[[#This Row],[Product ID]], tblProducts[Product ID], tblProducts[Unit Price])</f>
        <v>75</v>
      </c>
      <c r="I494" s="22">
        <f>_xlfn.XLOOKUP(tblAnalysis[[#This Row],[Product ID]], tblProducts[Product ID], tblProducts[Unit Cost])</f>
        <v>45</v>
      </c>
      <c r="J494" t="str">
        <f>_xlfn.XLOOKUP(tblAnalysis[[#This Row],[Rep ID]], tblReps[Rep ID], tblReps[Sales Rep])</f>
        <v>John</v>
      </c>
      <c r="K494" t="str">
        <f>_xlfn.XLOOKUP(tblAnalysis[[#This Row],[Rep ID]], tblReps[Rep ID], tblReps[Region])</f>
        <v>New York</v>
      </c>
      <c r="L494" s="22">
        <f>tblAnalysis[[#This Row],[Quantity]]*tblAnalysis[[#This Row],[Unit Price]]</f>
        <v>375</v>
      </c>
      <c r="M494" s="22">
        <f>tblAnalysis[[#This Row],[Quantity]]*(tblAnalysis[[#This Row],[Unit Price]]-tblAnalysis[[#This Row],[Unit Cost]])</f>
        <v>150</v>
      </c>
    </row>
    <row r="495" spans="1:13">
      <c r="A495" t="s">
        <v>549</v>
      </c>
      <c r="B495" s="1">
        <v>45951</v>
      </c>
      <c r="C495" t="s">
        <v>41</v>
      </c>
      <c r="D495" t="s">
        <v>26</v>
      </c>
      <c r="E495">
        <v>5</v>
      </c>
      <c r="F495" t="str">
        <f>_xlfn.XLOOKUP(tblAnalysis[[#This Row],[Product ID]], tblProducts[Product ID], tblProducts[Product Name])</f>
        <v>Shoes</v>
      </c>
      <c r="G495" t="str">
        <f>_xlfn.XLOOKUP(tblAnalysis[[#This Row],[Product ID]], tblProducts[Product ID], tblProducts[Category])</f>
        <v>Fashion</v>
      </c>
      <c r="H495" s="22">
        <f>_xlfn.XLOOKUP(tblAnalysis[[#This Row],[Product ID]], tblProducts[Product ID], tblProducts[Unit Price])</f>
        <v>75</v>
      </c>
      <c r="I495" s="22">
        <f>_xlfn.XLOOKUP(tblAnalysis[[#This Row],[Product ID]], tblProducts[Product ID], tblProducts[Unit Cost])</f>
        <v>40</v>
      </c>
      <c r="J495" t="str">
        <f>_xlfn.XLOOKUP(tblAnalysis[[#This Row],[Rep ID]], tblReps[Rep ID], tblReps[Sales Rep])</f>
        <v>Sarah</v>
      </c>
      <c r="K495" t="str">
        <f>_xlfn.XLOOKUP(tblAnalysis[[#This Row],[Rep ID]], tblReps[Rep ID], tblReps[Region])</f>
        <v>Chicago</v>
      </c>
      <c r="L495" s="22">
        <f>tblAnalysis[[#This Row],[Quantity]]*tblAnalysis[[#This Row],[Unit Price]]</f>
        <v>375</v>
      </c>
      <c r="M495" s="22">
        <f>tblAnalysis[[#This Row],[Quantity]]*(tblAnalysis[[#This Row],[Unit Price]]-tblAnalysis[[#This Row],[Unit Cost]])</f>
        <v>175</v>
      </c>
    </row>
    <row r="496" spans="1:13">
      <c r="A496" t="s">
        <v>550</v>
      </c>
      <c r="B496" s="1">
        <v>45952</v>
      </c>
      <c r="C496" t="s">
        <v>41</v>
      </c>
      <c r="D496" t="s">
        <v>26</v>
      </c>
      <c r="E496">
        <v>2</v>
      </c>
      <c r="F496" t="str">
        <f>_xlfn.XLOOKUP(tblAnalysis[[#This Row],[Product ID]], tblProducts[Product ID], tblProducts[Product Name])</f>
        <v>Shoes</v>
      </c>
      <c r="G496" t="str">
        <f>_xlfn.XLOOKUP(tblAnalysis[[#This Row],[Product ID]], tblProducts[Product ID], tblProducts[Category])</f>
        <v>Fashion</v>
      </c>
      <c r="H496" s="22">
        <f>_xlfn.XLOOKUP(tblAnalysis[[#This Row],[Product ID]], tblProducts[Product ID], tblProducts[Unit Price])</f>
        <v>75</v>
      </c>
      <c r="I496" s="22">
        <f>_xlfn.XLOOKUP(tblAnalysis[[#This Row],[Product ID]], tblProducts[Product ID], tblProducts[Unit Cost])</f>
        <v>40</v>
      </c>
      <c r="J496" t="str">
        <f>_xlfn.XLOOKUP(tblAnalysis[[#This Row],[Rep ID]], tblReps[Rep ID], tblReps[Sales Rep])</f>
        <v>Sarah</v>
      </c>
      <c r="K496" t="str">
        <f>_xlfn.XLOOKUP(tblAnalysis[[#This Row],[Rep ID]], tblReps[Rep ID], tblReps[Region])</f>
        <v>Chicago</v>
      </c>
      <c r="L496" s="22">
        <f>tblAnalysis[[#This Row],[Quantity]]*tblAnalysis[[#This Row],[Unit Price]]</f>
        <v>150</v>
      </c>
      <c r="M496" s="22">
        <f>tblAnalysis[[#This Row],[Quantity]]*(tblAnalysis[[#This Row],[Unit Price]]-tblAnalysis[[#This Row],[Unit Cost]])</f>
        <v>70</v>
      </c>
    </row>
    <row r="497" spans="1:13">
      <c r="A497" t="s">
        <v>551</v>
      </c>
      <c r="B497" s="1">
        <v>45953</v>
      </c>
      <c r="C497" t="s">
        <v>37</v>
      </c>
      <c r="D497" t="s">
        <v>26</v>
      </c>
      <c r="E497">
        <v>8</v>
      </c>
      <c r="F497" t="str">
        <f>_xlfn.XLOOKUP(tblAnalysis[[#This Row],[Product ID]], tblProducts[Product ID], tblProducts[Product Name])</f>
        <v>Shoes</v>
      </c>
      <c r="G497" t="str">
        <f>_xlfn.XLOOKUP(tblAnalysis[[#This Row],[Product ID]], tblProducts[Product ID], tblProducts[Category])</f>
        <v>Fashion</v>
      </c>
      <c r="H497" s="22">
        <f>_xlfn.XLOOKUP(tblAnalysis[[#This Row],[Product ID]], tblProducts[Product ID], tblProducts[Unit Price])</f>
        <v>75</v>
      </c>
      <c r="I497" s="22">
        <f>_xlfn.XLOOKUP(tblAnalysis[[#This Row],[Product ID]], tblProducts[Product ID], tblProducts[Unit Cost])</f>
        <v>40</v>
      </c>
      <c r="J497" t="str">
        <f>_xlfn.XLOOKUP(tblAnalysis[[#This Row],[Rep ID]], tblReps[Rep ID], tblReps[Sales Rep])</f>
        <v>Mike</v>
      </c>
      <c r="K497" t="str">
        <f>_xlfn.XLOOKUP(tblAnalysis[[#This Row],[Rep ID]], tblReps[Rep ID], tblReps[Region])</f>
        <v>Los Angeles</v>
      </c>
      <c r="L497" s="22">
        <f>tblAnalysis[[#This Row],[Quantity]]*tblAnalysis[[#This Row],[Unit Price]]</f>
        <v>600</v>
      </c>
      <c r="M497" s="22">
        <f>tblAnalysis[[#This Row],[Quantity]]*(tblAnalysis[[#This Row],[Unit Price]]-tblAnalysis[[#This Row],[Unit Cost]])</f>
        <v>280</v>
      </c>
    </row>
    <row r="498" spans="1:13">
      <c r="A498" t="s">
        <v>552</v>
      </c>
      <c r="B498" s="1">
        <v>45955</v>
      </c>
      <c r="C498" t="s">
        <v>45</v>
      </c>
      <c r="D498" t="s">
        <v>19</v>
      </c>
      <c r="E498">
        <v>3</v>
      </c>
      <c r="F498" t="str">
        <f>_xlfn.XLOOKUP(tblAnalysis[[#This Row],[Product ID]], tblProducts[Product ID], tblProducts[Product Name])</f>
        <v>Fan</v>
      </c>
      <c r="G498" t="str">
        <f>_xlfn.XLOOKUP(tblAnalysis[[#This Row],[Product ID]], tblProducts[Product ID], tblProducts[Category])</f>
        <v>Home &amp; Living</v>
      </c>
      <c r="H498" s="22">
        <f>_xlfn.XLOOKUP(tblAnalysis[[#This Row],[Product ID]], tblProducts[Product ID], tblProducts[Unit Price])</f>
        <v>45</v>
      </c>
      <c r="I498" s="22">
        <f>_xlfn.XLOOKUP(tblAnalysis[[#This Row],[Product ID]], tblProducts[Product ID], tblProducts[Unit Cost])</f>
        <v>25</v>
      </c>
      <c r="J498" t="str">
        <f>_xlfn.XLOOKUP(tblAnalysis[[#This Row],[Rep ID]], tblReps[Rep ID], tblReps[Sales Rep])</f>
        <v>David</v>
      </c>
      <c r="K498" t="str">
        <f>_xlfn.XLOOKUP(tblAnalysis[[#This Row],[Rep ID]], tblReps[Rep ID], tblReps[Region])</f>
        <v>Houston</v>
      </c>
      <c r="L498" s="22">
        <f>tblAnalysis[[#This Row],[Quantity]]*tblAnalysis[[#This Row],[Unit Price]]</f>
        <v>135</v>
      </c>
      <c r="M498" s="22">
        <f>tblAnalysis[[#This Row],[Quantity]]*(tblAnalysis[[#This Row],[Unit Price]]-tblAnalysis[[#This Row],[Unit Cost]])</f>
        <v>60</v>
      </c>
    </row>
    <row r="499" spans="1:13">
      <c r="A499" t="s">
        <v>553</v>
      </c>
      <c r="B499" s="1">
        <v>45956</v>
      </c>
      <c r="C499" t="s">
        <v>41</v>
      </c>
      <c r="D499" t="s">
        <v>12</v>
      </c>
      <c r="E499">
        <v>4</v>
      </c>
      <c r="F499" t="str">
        <f>_xlfn.XLOOKUP(tblAnalysis[[#This Row],[Product ID]], tblProducts[Product ID], tblProducts[Product Name])</f>
        <v>Webcam</v>
      </c>
      <c r="G499" t="str">
        <f>_xlfn.XLOOKUP(tblAnalysis[[#This Row],[Product ID]], tblProducts[Product ID], tblProducts[Category])</f>
        <v>Electronics</v>
      </c>
      <c r="H499" s="22">
        <f>_xlfn.XLOOKUP(tblAnalysis[[#This Row],[Product ID]], tblProducts[Product ID], tblProducts[Unit Price])</f>
        <v>60</v>
      </c>
      <c r="I499" s="22">
        <f>_xlfn.XLOOKUP(tblAnalysis[[#This Row],[Product ID]], tblProducts[Product ID], tblProducts[Unit Cost])</f>
        <v>35</v>
      </c>
      <c r="J499" t="str">
        <f>_xlfn.XLOOKUP(tblAnalysis[[#This Row],[Rep ID]], tblReps[Rep ID], tblReps[Sales Rep])</f>
        <v>Sarah</v>
      </c>
      <c r="K499" t="str">
        <f>_xlfn.XLOOKUP(tblAnalysis[[#This Row],[Rep ID]], tblReps[Rep ID], tblReps[Region])</f>
        <v>Chicago</v>
      </c>
      <c r="L499" s="22">
        <f>tblAnalysis[[#This Row],[Quantity]]*tblAnalysis[[#This Row],[Unit Price]]</f>
        <v>240</v>
      </c>
      <c r="M499" s="22">
        <f>tblAnalysis[[#This Row],[Quantity]]*(tblAnalysis[[#This Row],[Unit Price]]-tblAnalysis[[#This Row],[Unit Cost]])</f>
        <v>100</v>
      </c>
    </row>
    <row r="500" spans="1:13">
      <c r="A500" t="s">
        <v>554</v>
      </c>
      <c r="B500" s="1">
        <v>45958</v>
      </c>
      <c r="C500" t="s">
        <v>45</v>
      </c>
      <c r="D500" t="s">
        <v>26</v>
      </c>
      <c r="E500">
        <v>2</v>
      </c>
      <c r="F500" t="str">
        <f>_xlfn.XLOOKUP(tblAnalysis[[#This Row],[Product ID]], tblProducts[Product ID], tblProducts[Product Name])</f>
        <v>Shoes</v>
      </c>
      <c r="G500" t="str">
        <f>_xlfn.XLOOKUP(tblAnalysis[[#This Row],[Product ID]], tblProducts[Product ID], tblProducts[Category])</f>
        <v>Fashion</v>
      </c>
      <c r="H500" s="22">
        <f>_xlfn.XLOOKUP(tblAnalysis[[#This Row],[Product ID]], tblProducts[Product ID], tblProducts[Unit Price])</f>
        <v>75</v>
      </c>
      <c r="I500" s="22">
        <f>_xlfn.XLOOKUP(tblAnalysis[[#This Row],[Product ID]], tblProducts[Product ID], tblProducts[Unit Cost])</f>
        <v>40</v>
      </c>
      <c r="J500" t="str">
        <f>_xlfn.XLOOKUP(tblAnalysis[[#This Row],[Rep ID]], tblReps[Rep ID], tblReps[Sales Rep])</f>
        <v>David</v>
      </c>
      <c r="K500" t="str">
        <f>_xlfn.XLOOKUP(tblAnalysis[[#This Row],[Rep ID]], tblReps[Rep ID], tblReps[Region])</f>
        <v>Houston</v>
      </c>
      <c r="L500" s="22">
        <f>tblAnalysis[[#This Row],[Quantity]]*tblAnalysis[[#This Row],[Unit Price]]</f>
        <v>150</v>
      </c>
      <c r="M500" s="22">
        <f>tblAnalysis[[#This Row],[Quantity]]*(tblAnalysis[[#This Row],[Unit Price]]-tblAnalysis[[#This Row],[Unit Cost]])</f>
        <v>70</v>
      </c>
    </row>
    <row r="501" spans="1:13">
      <c r="A501" t="s">
        <v>555</v>
      </c>
      <c r="B501" s="1">
        <v>45959</v>
      </c>
      <c r="C501" t="s">
        <v>45</v>
      </c>
      <c r="D501" t="s">
        <v>19</v>
      </c>
      <c r="E501">
        <v>10</v>
      </c>
      <c r="F501" t="str">
        <f>_xlfn.XLOOKUP(tblAnalysis[[#This Row],[Product ID]], tblProducts[Product ID], tblProducts[Product Name])</f>
        <v>Fan</v>
      </c>
      <c r="G501" t="str">
        <f>_xlfn.XLOOKUP(tblAnalysis[[#This Row],[Product ID]], tblProducts[Product ID], tblProducts[Category])</f>
        <v>Home &amp; Living</v>
      </c>
      <c r="H501" s="22">
        <f>_xlfn.XLOOKUP(tblAnalysis[[#This Row],[Product ID]], tblProducts[Product ID], tblProducts[Unit Price])</f>
        <v>45</v>
      </c>
      <c r="I501" s="22">
        <f>_xlfn.XLOOKUP(tblAnalysis[[#This Row],[Product ID]], tblProducts[Product ID], tblProducts[Unit Cost])</f>
        <v>25</v>
      </c>
      <c r="J501" t="str">
        <f>_xlfn.XLOOKUP(tblAnalysis[[#This Row],[Rep ID]], tblReps[Rep ID], tblReps[Sales Rep])</f>
        <v>David</v>
      </c>
      <c r="K501" t="str">
        <f>_xlfn.XLOOKUP(tblAnalysis[[#This Row],[Rep ID]], tblReps[Rep ID], tblReps[Region])</f>
        <v>Houston</v>
      </c>
      <c r="L501" s="22">
        <f>tblAnalysis[[#This Row],[Quantity]]*tblAnalysis[[#This Row],[Unit Price]]</f>
        <v>450</v>
      </c>
      <c r="M501" s="22">
        <f>tblAnalysis[[#This Row],[Quantity]]*(tblAnalysis[[#This Row],[Unit Price]]-tblAnalysis[[#This Row],[Unit Cost]])</f>
        <v>200</v>
      </c>
    </row>
    <row r="502" spans="1:13">
      <c r="A502" t="s">
        <v>556</v>
      </c>
      <c r="B502" s="1">
        <v>45959</v>
      </c>
      <c r="C502" t="s">
        <v>33</v>
      </c>
      <c r="D502" t="s">
        <v>14</v>
      </c>
      <c r="E502">
        <v>8</v>
      </c>
      <c r="F502" t="str">
        <f>_xlfn.XLOOKUP(tblAnalysis[[#This Row],[Product ID]], tblProducts[Product ID], tblProducts[Product Name])</f>
        <v>Blender</v>
      </c>
      <c r="G502" t="str">
        <f>_xlfn.XLOOKUP(tblAnalysis[[#This Row],[Product ID]], tblProducts[Product ID], tblProducts[Category])</f>
        <v>Home &amp; Living</v>
      </c>
      <c r="H502" s="22">
        <f>_xlfn.XLOOKUP(tblAnalysis[[#This Row],[Product ID]], tblProducts[Product ID], tblProducts[Unit Price])</f>
        <v>50</v>
      </c>
      <c r="I502" s="22">
        <f>_xlfn.XLOOKUP(tblAnalysis[[#This Row],[Product ID]], tblProducts[Product ID], tblProducts[Unit Cost])</f>
        <v>30</v>
      </c>
      <c r="J502" t="str">
        <f>_xlfn.XLOOKUP(tblAnalysis[[#This Row],[Rep ID]], tblReps[Rep ID], tblReps[Sales Rep])</f>
        <v>John</v>
      </c>
      <c r="K502" t="str">
        <f>_xlfn.XLOOKUP(tblAnalysis[[#This Row],[Rep ID]], tblReps[Rep ID], tblReps[Region])</f>
        <v>New York</v>
      </c>
      <c r="L502" s="22">
        <f>tblAnalysis[[#This Row],[Quantity]]*tblAnalysis[[#This Row],[Unit Price]]</f>
        <v>400</v>
      </c>
      <c r="M502" s="22">
        <f>tblAnalysis[[#This Row],[Quantity]]*(tblAnalysis[[#This Row],[Unit Price]]-tblAnalysis[[#This Row],[Unit Cost]])</f>
        <v>160</v>
      </c>
    </row>
    <row r="503" spans="1:13">
      <c r="A503" t="s">
        <v>557</v>
      </c>
      <c r="B503" s="1">
        <v>45961</v>
      </c>
      <c r="C503" t="s">
        <v>41</v>
      </c>
      <c r="D503" t="s">
        <v>8</v>
      </c>
      <c r="E503">
        <v>2</v>
      </c>
      <c r="F503" t="str">
        <f>_xlfn.XLOOKUP(tblAnalysis[[#This Row],[Product ID]], tblProducts[Product ID], tblProducts[Product Name])</f>
        <v>Mouse</v>
      </c>
      <c r="G503" t="str">
        <f>_xlfn.XLOOKUP(tblAnalysis[[#This Row],[Product ID]], tblProducts[Product ID], tblProducts[Category])</f>
        <v>Electronics</v>
      </c>
      <c r="H503" s="22">
        <f>_xlfn.XLOOKUP(tblAnalysis[[#This Row],[Product ID]], tblProducts[Product ID], tblProducts[Unit Price])</f>
        <v>25</v>
      </c>
      <c r="I503" s="22">
        <f>_xlfn.XLOOKUP(tblAnalysis[[#This Row],[Product ID]], tblProducts[Product ID], tblProducts[Unit Cost])</f>
        <v>12</v>
      </c>
      <c r="J503" t="str">
        <f>_xlfn.XLOOKUP(tblAnalysis[[#This Row],[Rep ID]], tblReps[Rep ID], tblReps[Sales Rep])</f>
        <v>Sarah</v>
      </c>
      <c r="K503" t="str">
        <f>_xlfn.XLOOKUP(tblAnalysis[[#This Row],[Rep ID]], tblReps[Rep ID], tblReps[Region])</f>
        <v>Chicago</v>
      </c>
      <c r="L503" s="22">
        <f>tblAnalysis[[#This Row],[Quantity]]*tblAnalysis[[#This Row],[Unit Price]]</f>
        <v>50</v>
      </c>
      <c r="M503" s="22">
        <f>tblAnalysis[[#This Row],[Quantity]]*(tblAnalysis[[#This Row],[Unit Price]]-tblAnalysis[[#This Row],[Unit Cost]])</f>
        <v>26</v>
      </c>
    </row>
    <row r="504" spans="1:13">
      <c r="A504" t="s">
        <v>558</v>
      </c>
      <c r="B504" s="1">
        <v>45961</v>
      </c>
      <c r="C504" t="s">
        <v>37</v>
      </c>
      <c r="D504" t="s">
        <v>21</v>
      </c>
      <c r="E504">
        <v>3</v>
      </c>
      <c r="F504" t="str">
        <f>_xlfn.XLOOKUP(tblAnalysis[[#This Row],[Product ID]], tblProducts[Product ID], tblProducts[Product Name])</f>
        <v>T-Shirt</v>
      </c>
      <c r="G504" t="str">
        <f>_xlfn.XLOOKUP(tblAnalysis[[#This Row],[Product ID]], tblProducts[Product ID], tblProducts[Category])</f>
        <v>Fashion</v>
      </c>
      <c r="H504" s="22">
        <f>_xlfn.XLOOKUP(tblAnalysis[[#This Row],[Product ID]], tblProducts[Product ID], tblProducts[Unit Price])</f>
        <v>20</v>
      </c>
      <c r="I504" s="22">
        <f>_xlfn.XLOOKUP(tblAnalysis[[#This Row],[Product ID]], tblProducts[Product ID], tblProducts[Unit Cost])</f>
        <v>8</v>
      </c>
      <c r="J504" t="str">
        <f>_xlfn.XLOOKUP(tblAnalysis[[#This Row],[Rep ID]], tblReps[Rep ID], tblReps[Sales Rep])</f>
        <v>Mike</v>
      </c>
      <c r="K504" t="str">
        <f>_xlfn.XLOOKUP(tblAnalysis[[#This Row],[Rep ID]], tblReps[Rep ID], tblReps[Region])</f>
        <v>Los Angeles</v>
      </c>
      <c r="L504" s="22">
        <f>tblAnalysis[[#This Row],[Quantity]]*tblAnalysis[[#This Row],[Unit Price]]</f>
        <v>60</v>
      </c>
      <c r="M504" s="22">
        <f>tblAnalysis[[#This Row],[Quantity]]*(tblAnalysis[[#This Row],[Unit Price]]-tblAnalysis[[#This Row],[Unit Cost]])</f>
        <v>36</v>
      </c>
    </row>
    <row r="505" spans="1:13">
      <c r="A505" t="s">
        <v>559</v>
      </c>
      <c r="B505" s="1">
        <v>45961</v>
      </c>
      <c r="C505" t="s">
        <v>45</v>
      </c>
      <c r="D505" t="s">
        <v>8</v>
      </c>
      <c r="E505">
        <v>5</v>
      </c>
      <c r="F505" t="str">
        <f>_xlfn.XLOOKUP(tblAnalysis[[#This Row],[Product ID]], tblProducts[Product ID], tblProducts[Product Name])</f>
        <v>Mouse</v>
      </c>
      <c r="G505" t="str">
        <f>_xlfn.XLOOKUP(tblAnalysis[[#This Row],[Product ID]], tblProducts[Product ID], tblProducts[Category])</f>
        <v>Electronics</v>
      </c>
      <c r="H505" s="22">
        <f>_xlfn.XLOOKUP(tblAnalysis[[#This Row],[Product ID]], tblProducts[Product ID], tblProducts[Unit Price])</f>
        <v>25</v>
      </c>
      <c r="I505" s="22">
        <f>_xlfn.XLOOKUP(tblAnalysis[[#This Row],[Product ID]], tblProducts[Product ID], tblProducts[Unit Cost])</f>
        <v>12</v>
      </c>
      <c r="J505" t="str">
        <f>_xlfn.XLOOKUP(tblAnalysis[[#This Row],[Rep ID]], tblReps[Rep ID], tblReps[Sales Rep])</f>
        <v>David</v>
      </c>
      <c r="K505" t="str">
        <f>_xlfn.XLOOKUP(tblAnalysis[[#This Row],[Rep ID]], tblReps[Rep ID], tblReps[Region])</f>
        <v>Houston</v>
      </c>
      <c r="L505" s="22">
        <f>tblAnalysis[[#This Row],[Quantity]]*tblAnalysis[[#This Row],[Unit Price]]</f>
        <v>125</v>
      </c>
      <c r="M505" s="22">
        <f>tblAnalysis[[#This Row],[Quantity]]*(tblAnalysis[[#This Row],[Unit Price]]-tblAnalysis[[#This Row],[Unit Cost]])</f>
        <v>65</v>
      </c>
    </row>
    <row r="506" spans="1:13">
      <c r="A506" t="s">
        <v>560</v>
      </c>
      <c r="B506" s="1">
        <v>45961</v>
      </c>
      <c r="C506" t="s">
        <v>41</v>
      </c>
      <c r="D506" t="s">
        <v>26</v>
      </c>
      <c r="E506">
        <v>2</v>
      </c>
      <c r="F506" t="str">
        <f>_xlfn.XLOOKUP(tblAnalysis[[#This Row],[Product ID]], tblProducts[Product ID], tblProducts[Product Name])</f>
        <v>Shoes</v>
      </c>
      <c r="G506" t="str">
        <f>_xlfn.XLOOKUP(tblAnalysis[[#This Row],[Product ID]], tblProducts[Product ID], tblProducts[Category])</f>
        <v>Fashion</v>
      </c>
      <c r="H506" s="22">
        <f>_xlfn.XLOOKUP(tblAnalysis[[#This Row],[Product ID]], tblProducts[Product ID], tblProducts[Unit Price])</f>
        <v>75</v>
      </c>
      <c r="I506" s="22">
        <f>_xlfn.XLOOKUP(tblAnalysis[[#This Row],[Product ID]], tblProducts[Product ID], tblProducts[Unit Cost])</f>
        <v>40</v>
      </c>
      <c r="J506" t="str">
        <f>_xlfn.XLOOKUP(tblAnalysis[[#This Row],[Rep ID]], tblReps[Rep ID], tblReps[Sales Rep])</f>
        <v>Sarah</v>
      </c>
      <c r="K506" t="str">
        <f>_xlfn.XLOOKUP(tblAnalysis[[#This Row],[Rep ID]], tblReps[Rep ID], tblReps[Region])</f>
        <v>Chicago</v>
      </c>
      <c r="L506" s="22">
        <f>tblAnalysis[[#This Row],[Quantity]]*tblAnalysis[[#This Row],[Unit Price]]</f>
        <v>150</v>
      </c>
      <c r="M506" s="22">
        <f>tblAnalysis[[#This Row],[Quantity]]*(tblAnalysis[[#This Row],[Unit Price]]-tblAnalysis[[#This Row],[Unit Cost]])</f>
        <v>70</v>
      </c>
    </row>
    <row r="507" spans="1:13">
      <c r="A507" t="s">
        <v>561</v>
      </c>
      <c r="B507" s="1">
        <v>45961</v>
      </c>
      <c r="C507" t="s">
        <v>37</v>
      </c>
      <c r="D507" t="s">
        <v>24</v>
      </c>
      <c r="E507">
        <v>9</v>
      </c>
      <c r="F507" t="str">
        <f>_xlfn.XLOOKUP(tblAnalysis[[#This Row],[Product ID]], tblProducts[Product ID], tblProducts[Product Name])</f>
        <v>Pants</v>
      </c>
      <c r="G507" t="str">
        <f>_xlfn.XLOOKUP(tblAnalysis[[#This Row],[Product ID]], tblProducts[Product ID], tblProducts[Category])</f>
        <v>Fashion</v>
      </c>
      <c r="H507" s="22">
        <f>_xlfn.XLOOKUP(tblAnalysis[[#This Row],[Product ID]], tblProducts[Product ID], tblProducts[Unit Price])</f>
        <v>40</v>
      </c>
      <c r="I507" s="22">
        <f>_xlfn.XLOOKUP(tblAnalysis[[#This Row],[Product ID]], tblProducts[Product ID], tblProducts[Unit Cost])</f>
        <v>18</v>
      </c>
      <c r="J507" t="str">
        <f>_xlfn.XLOOKUP(tblAnalysis[[#This Row],[Rep ID]], tblReps[Rep ID], tblReps[Sales Rep])</f>
        <v>Mike</v>
      </c>
      <c r="K507" t="str">
        <f>_xlfn.XLOOKUP(tblAnalysis[[#This Row],[Rep ID]], tblReps[Rep ID], tblReps[Region])</f>
        <v>Los Angeles</v>
      </c>
      <c r="L507" s="22">
        <f>tblAnalysis[[#This Row],[Quantity]]*tblAnalysis[[#This Row],[Unit Price]]</f>
        <v>360</v>
      </c>
      <c r="M507" s="22">
        <f>tblAnalysis[[#This Row],[Quantity]]*(tblAnalysis[[#This Row],[Unit Price]]-tblAnalysis[[#This Row],[Unit Cost]])</f>
        <v>198</v>
      </c>
    </row>
    <row r="508" spans="1:13">
      <c r="A508" t="s">
        <v>562</v>
      </c>
      <c r="B508" s="1">
        <v>45962</v>
      </c>
      <c r="C508" t="s">
        <v>45</v>
      </c>
      <c r="D508" t="s">
        <v>21</v>
      </c>
      <c r="E508">
        <v>4</v>
      </c>
      <c r="F508" t="str">
        <f>_xlfn.XLOOKUP(tblAnalysis[[#This Row],[Product ID]], tblProducts[Product ID], tblProducts[Product Name])</f>
        <v>T-Shirt</v>
      </c>
      <c r="G508" t="str">
        <f>_xlfn.XLOOKUP(tblAnalysis[[#This Row],[Product ID]], tblProducts[Product ID], tblProducts[Category])</f>
        <v>Fashion</v>
      </c>
      <c r="H508" s="22">
        <f>_xlfn.XLOOKUP(tblAnalysis[[#This Row],[Product ID]], tblProducts[Product ID], tblProducts[Unit Price])</f>
        <v>20</v>
      </c>
      <c r="I508" s="22">
        <f>_xlfn.XLOOKUP(tblAnalysis[[#This Row],[Product ID]], tblProducts[Product ID], tblProducts[Unit Cost])</f>
        <v>8</v>
      </c>
      <c r="J508" t="str">
        <f>_xlfn.XLOOKUP(tblAnalysis[[#This Row],[Rep ID]], tblReps[Rep ID], tblReps[Sales Rep])</f>
        <v>David</v>
      </c>
      <c r="K508" t="str">
        <f>_xlfn.XLOOKUP(tblAnalysis[[#This Row],[Rep ID]], tblReps[Rep ID], tblReps[Region])</f>
        <v>Houston</v>
      </c>
      <c r="L508" s="22">
        <f>tblAnalysis[[#This Row],[Quantity]]*tblAnalysis[[#This Row],[Unit Price]]</f>
        <v>80</v>
      </c>
      <c r="M508" s="22">
        <f>tblAnalysis[[#This Row],[Quantity]]*(tblAnalysis[[#This Row],[Unit Price]]-tblAnalysis[[#This Row],[Unit Cost]])</f>
        <v>48</v>
      </c>
    </row>
    <row r="509" spans="1:13">
      <c r="A509" t="s">
        <v>563</v>
      </c>
      <c r="B509" s="1">
        <v>45963</v>
      </c>
      <c r="C509" t="s">
        <v>49</v>
      </c>
      <c r="D509" t="s">
        <v>19</v>
      </c>
      <c r="E509">
        <v>3</v>
      </c>
      <c r="F509" t="str">
        <f>_xlfn.XLOOKUP(tblAnalysis[[#This Row],[Product ID]], tblProducts[Product ID], tblProducts[Product Name])</f>
        <v>Fan</v>
      </c>
      <c r="G509" t="str">
        <f>_xlfn.XLOOKUP(tblAnalysis[[#This Row],[Product ID]], tblProducts[Product ID], tblProducts[Category])</f>
        <v>Home &amp; Living</v>
      </c>
      <c r="H509" s="22">
        <f>_xlfn.XLOOKUP(tblAnalysis[[#This Row],[Product ID]], tblProducts[Product ID], tblProducts[Unit Price])</f>
        <v>45</v>
      </c>
      <c r="I509" s="22">
        <f>_xlfn.XLOOKUP(tblAnalysis[[#This Row],[Product ID]], tblProducts[Product ID], tblProducts[Unit Cost])</f>
        <v>25</v>
      </c>
      <c r="J509" t="str">
        <f>_xlfn.XLOOKUP(tblAnalysis[[#This Row],[Rep ID]], tblReps[Rep ID], tblReps[Sales Rep])</f>
        <v>Emma</v>
      </c>
      <c r="K509" t="str">
        <f>_xlfn.XLOOKUP(tblAnalysis[[#This Row],[Rep ID]], tblReps[Rep ID], tblReps[Region])</f>
        <v>Miami</v>
      </c>
      <c r="L509" s="22">
        <f>tblAnalysis[[#This Row],[Quantity]]*tblAnalysis[[#This Row],[Unit Price]]</f>
        <v>135</v>
      </c>
      <c r="M509" s="22">
        <f>tblAnalysis[[#This Row],[Quantity]]*(tblAnalysis[[#This Row],[Unit Price]]-tblAnalysis[[#This Row],[Unit Cost]])</f>
        <v>60</v>
      </c>
    </row>
    <row r="510" spans="1:13">
      <c r="A510" t="s">
        <v>564</v>
      </c>
      <c r="B510" s="1">
        <v>45964</v>
      </c>
      <c r="C510" t="s">
        <v>49</v>
      </c>
      <c r="D510" t="s">
        <v>14</v>
      </c>
      <c r="E510">
        <v>10</v>
      </c>
      <c r="F510" t="str">
        <f>_xlfn.XLOOKUP(tblAnalysis[[#This Row],[Product ID]], tblProducts[Product ID], tblProducts[Product Name])</f>
        <v>Blender</v>
      </c>
      <c r="G510" t="str">
        <f>_xlfn.XLOOKUP(tblAnalysis[[#This Row],[Product ID]], tblProducts[Product ID], tblProducts[Category])</f>
        <v>Home &amp; Living</v>
      </c>
      <c r="H510" s="22">
        <f>_xlfn.XLOOKUP(tblAnalysis[[#This Row],[Product ID]], tblProducts[Product ID], tblProducts[Unit Price])</f>
        <v>50</v>
      </c>
      <c r="I510" s="22">
        <f>_xlfn.XLOOKUP(tblAnalysis[[#This Row],[Product ID]], tblProducts[Product ID], tblProducts[Unit Cost])</f>
        <v>30</v>
      </c>
      <c r="J510" t="str">
        <f>_xlfn.XLOOKUP(tblAnalysis[[#This Row],[Rep ID]], tblReps[Rep ID], tblReps[Sales Rep])</f>
        <v>Emma</v>
      </c>
      <c r="K510" t="str">
        <f>_xlfn.XLOOKUP(tblAnalysis[[#This Row],[Rep ID]], tblReps[Rep ID], tblReps[Region])</f>
        <v>Miami</v>
      </c>
      <c r="L510" s="22">
        <f>tblAnalysis[[#This Row],[Quantity]]*tblAnalysis[[#This Row],[Unit Price]]</f>
        <v>500</v>
      </c>
      <c r="M510" s="22">
        <f>tblAnalysis[[#This Row],[Quantity]]*(tblAnalysis[[#This Row],[Unit Price]]-tblAnalysis[[#This Row],[Unit Cost]])</f>
        <v>200</v>
      </c>
    </row>
    <row r="511" spans="1:13">
      <c r="A511" t="s">
        <v>565</v>
      </c>
      <c r="B511" s="1">
        <v>45964</v>
      </c>
      <c r="C511" t="s">
        <v>49</v>
      </c>
      <c r="D511" t="s">
        <v>21</v>
      </c>
      <c r="E511">
        <v>1</v>
      </c>
      <c r="F511" t="str">
        <f>_xlfn.XLOOKUP(tblAnalysis[[#This Row],[Product ID]], tblProducts[Product ID], tblProducts[Product Name])</f>
        <v>T-Shirt</v>
      </c>
      <c r="G511" t="str">
        <f>_xlfn.XLOOKUP(tblAnalysis[[#This Row],[Product ID]], tblProducts[Product ID], tblProducts[Category])</f>
        <v>Fashion</v>
      </c>
      <c r="H511" s="22">
        <f>_xlfn.XLOOKUP(tblAnalysis[[#This Row],[Product ID]], tblProducts[Product ID], tblProducts[Unit Price])</f>
        <v>20</v>
      </c>
      <c r="I511" s="22">
        <f>_xlfn.XLOOKUP(tblAnalysis[[#This Row],[Product ID]], tblProducts[Product ID], tblProducts[Unit Cost])</f>
        <v>8</v>
      </c>
      <c r="J511" t="str">
        <f>_xlfn.XLOOKUP(tblAnalysis[[#This Row],[Rep ID]], tblReps[Rep ID], tblReps[Sales Rep])</f>
        <v>Emma</v>
      </c>
      <c r="K511" t="str">
        <f>_xlfn.XLOOKUP(tblAnalysis[[#This Row],[Rep ID]], tblReps[Rep ID], tblReps[Region])</f>
        <v>Miami</v>
      </c>
      <c r="L511" s="22">
        <f>tblAnalysis[[#This Row],[Quantity]]*tblAnalysis[[#This Row],[Unit Price]]</f>
        <v>20</v>
      </c>
      <c r="M511" s="22">
        <f>tblAnalysis[[#This Row],[Quantity]]*(tblAnalysis[[#This Row],[Unit Price]]-tblAnalysis[[#This Row],[Unit Cost]])</f>
        <v>12</v>
      </c>
    </row>
    <row r="512" spans="1:13">
      <c r="A512" t="s">
        <v>566</v>
      </c>
      <c r="B512" s="1">
        <v>45965</v>
      </c>
      <c r="C512" t="s">
        <v>33</v>
      </c>
      <c r="D512" t="s">
        <v>8</v>
      </c>
      <c r="E512">
        <v>9</v>
      </c>
      <c r="F512" t="str">
        <f>_xlfn.XLOOKUP(tblAnalysis[[#This Row],[Product ID]], tblProducts[Product ID], tblProducts[Product Name])</f>
        <v>Mouse</v>
      </c>
      <c r="G512" t="str">
        <f>_xlfn.XLOOKUP(tblAnalysis[[#This Row],[Product ID]], tblProducts[Product ID], tblProducts[Category])</f>
        <v>Electronics</v>
      </c>
      <c r="H512" s="22">
        <f>_xlfn.XLOOKUP(tblAnalysis[[#This Row],[Product ID]], tblProducts[Product ID], tblProducts[Unit Price])</f>
        <v>25</v>
      </c>
      <c r="I512" s="22">
        <f>_xlfn.XLOOKUP(tblAnalysis[[#This Row],[Product ID]], tblProducts[Product ID], tblProducts[Unit Cost])</f>
        <v>12</v>
      </c>
      <c r="J512" t="str">
        <f>_xlfn.XLOOKUP(tblAnalysis[[#This Row],[Rep ID]], tblReps[Rep ID], tblReps[Sales Rep])</f>
        <v>John</v>
      </c>
      <c r="K512" t="str">
        <f>_xlfn.XLOOKUP(tblAnalysis[[#This Row],[Rep ID]], tblReps[Rep ID], tblReps[Region])</f>
        <v>New York</v>
      </c>
      <c r="L512" s="22">
        <f>tblAnalysis[[#This Row],[Quantity]]*tblAnalysis[[#This Row],[Unit Price]]</f>
        <v>225</v>
      </c>
      <c r="M512" s="22">
        <f>tblAnalysis[[#This Row],[Quantity]]*(tblAnalysis[[#This Row],[Unit Price]]-tblAnalysis[[#This Row],[Unit Cost]])</f>
        <v>117</v>
      </c>
    </row>
    <row r="513" spans="1:13">
      <c r="A513" t="s">
        <v>567</v>
      </c>
      <c r="B513" s="1">
        <v>45965</v>
      </c>
      <c r="C513" t="s">
        <v>45</v>
      </c>
      <c r="D513" t="s">
        <v>17</v>
      </c>
      <c r="E513">
        <v>4</v>
      </c>
      <c r="F513" t="str">
        <f>_xlfn.XLOOKUP(tblAnalysis[[#This Row],[Product ID]], tblProducts[Product ID], tblProducts[Product Name])</f>
        <v>Iron</v>
      </c>
      <c r="G513" t="str">
        <f>_xlfn.XLOOKUP(tblAnalysis[[#This Row],[Product ID]], tblProducts[Product ID], tblProducts[Category])</f>
        <v>Home &amp; Living</v>
      </c>
      <c r="H513" s="22">
        <f>_xlfn.XLOOKUP(tblAnalysis[[#This Row],[Product ID]], tblProducts[Product ID], tblProducts[Unit Price])</f>
        <v>35</v>
      </c>
      <c r="I513" s="22">
        <f>_xlfn.XLOOKUP(tblAnalysis[[#This Row],[Product ID]], tblProducts[Product ID], tblProducts[Unit Cost])</f>
        <v>20</v>
      </c>
      <c r="J513" t="str">
        <f>_xlfn.XLOOKUP(tblAnalysis[[#This Row],[Rep ID]], tblReps[Rep ID], tblReps[Sales Rep])</f>
        <v>David</v>
      </c>
      <c r="K513" t="str">
        <f>_xlfn.XLOOKUP(tblAnalysis[[#This Row],[Rep ID]], tblReps[Rep ID], tblReps[Region])</f>
        <v>Houston</v>
      </c>
      <c r="L513" s="22">
        <f>tblAnalysis[[#This Row],[Quantity]]*tblAnalysis[[#This Row],[Unit Price]]</f>
        <v>140</v>
      </c>
      <c r="M513" s="22">
        <f>tblAnalysis[[#This Row],[Quantity]]*(tblAnalysis[[#This Row],[Unit Price]]-tblAnalysis[[#This Row],[Unit Cost]])</f>
        <v>60</v>
      </c>
    </row>
    <row r="514" spans="1:13">
      <c r="A514" t="s">
        <v>568</v>
      </c>
      <c r="B514" s="1">
        <v>45966</v>
      </c>
      <c r="C514" t="s">
        <v>49</v>
      </c>
      <c r="D514" t="s">
        <v>14</v>
      </c>
      <c r="E514">
        <v>4</v>
      </c>
      <c r="F514" t="str">
        <f>_xlfn.XLOOKUP(tblAnalysis[[#This Row],[Product ID]], tblProducts[Product ID], tblProducts[Product Name])</f>
        <v>Blender</v>
      </c>
      <c r="G514" t="str">
        <f>_xlfn.XLOOKUP(tblAnalysis[[#This Row],[Product ID]], tblProducts[Product ID], tblProducts[Category])</f>
        <v>Home &amp; Living</v>
      </c>
      <c r="H514" s="22">
        <f>_xlfn.XLOOKUP(tblAnalysis[[#This Row],[Product ID]], tblProducts[Product ID], tblProducts[Unit Price])</f>
        <v>50</v>
      </c>
      <c r="I514" s="22">
        <f>_xlfn.XLOOKUP(tblAnalysis[[#This Row],[Product ID]], tblProducts[Product ID], tblProducts[Unit Cost])</f>
        <v>30</v>
      </c>
      <c r="J514" t="str">
        <f>_xlfn.XLOOKUP(tblAnalysis[[#This Row],[Rep ID]], tblReps[Rep ID], tblReps[Sales Rep])</f>
        <v>Emma</v>
      </c>
      <c r="K514" t="str">
        <f>_xlfn.XLOOKUP(tblAnalysis[[#This Row],[Rep ID]], tblReps[Rep ID], tblReps[Region])</f>
        <v>Miami</v>
      </c>
      <c r="L514" s="22">
        <f>tblAnalysis[[#This Row],[Quantity]]*tblAnalysis[[#This Row],[Unit Price]]</f>
        <v>200</v>
      </c>
      <c r="M514" s="22">
        <f>tblAnalysis[[#This Row],[Quantity]]*(tblAnalysis[[#This Row],[Unit Price]]-tblAnalysis[[#This Row],[Unit Cost]])</f>
        <v>80</v>
      </c>
    </row>
    <row r="515" spans="1:13">
      <c r="A515" t="s">
        <v>569</v>
      </c>
      <c r="B515" s="1">
        <v>45967</v>
      </c>
      <c r="C515" t="s">
        <v>33</v>
      </c>
      <c r="D515" t="s">
        <v>10</v>
      </c>
      <c r="E515">
        <v>3</v>
      </c>
      <c r="F515" t="str">
        <f>_xlfn.XLOOKUP(tblAnalysis[[#This Row],[Product ID]], tblProducts[Product ID], tblProducts[Product Name])</f>
        <v>Keyboard</v>
      </c>
      <c r="G515" t="str">
        <f>_xlfn.XLOOKUP(tblAnalysis[[#This Row],[Product ID]], tblProducts[Product ID], tblProducts[Category])</f>
        <v>Electronics</v>
      </c>
      <c r="H515" s="22">
        <f>_xlfn.XLOOKUP(tblAnalysis[[#This Row],[Product ID]], tblProducts[Product ID], tblProducts[Unit Price])</f>
        <v>40</v>
      </c>
      <c r="I515" s="22">
        <f>_xlfn.XLOOKUP(tblAnalysis[[#This Row],[Product ID]], tblProducts[Product ID], tblProducts[Unit Cost])</f>
        <v>22</v>
      </c>
      <c r="J515" t="str">
        <f>_xlfn.XLOOKUP(tblAnalysis[[#This Row],[Rep ID]], tblReps[Rep ID], tblReps[Sales Rep])</f>
        <v>John</v>
      </c>
      <c r="K515" t="str">
        <f>_xlfn.XLOOKUP(tblAnalysis[[#This Row],[Rep ID]], tblReps[Rep ID], tblReps[Region])</f>
        <v>New York</v>
      </c>
      <c r="L515" s="22">
        <f>tblAnalysis[[#This Row],[Quantity]]*tblAnalysis[[#This Row],[Unit Price]]</f>
        <v>120</v>
      </c>
      <c r="M515" s="22">
        <f>tblAnalysis[[#This Row],[Quantity]]*(tblAnalysis[[#This Row],[Unit Price]]-tblAnalysis[[#This Row],[Unit Cost]])</f>
        <v>54</v>
      </c>
    </row>
    <row r="516" spans="1:13">
      <c r="A516" t="s">
        <v>570</v>
      </c>
      <c r="B516" s="1">
        <v>45967</v>
      </c>
      <c r="C516" t="s">
        <v>41</v>
      </c>
      <c r="D516" t="s">
        <v>24</v>
      </c>
      <c r="E516">
        <v>3</v>
      </c>
      <c r="F516" t="str">
        <f>_xlfn.XLOOKUP(tblAnalysis[[#This Row],[Product ID]], tblProducts[Product ID], tblProducts[Product Name])</f>
        <v>Pants</v>
      </c>
      <c r="G516" t="str">
        <f>_xlfn.XLOOKUP(tblAnalysis[[#This Row],[Product ID]], tblProducts[Product ID], tblProducts[Category])</f>
        <v>Fashion</v>
      </c>
      <c r="H516" s="22">
        <f>_xlfn.XLOOKUP(tblAnalysis[[#This Row],[Product ID]], tblProducts[Product ID], tblProducts[Unit Price])</f>
        <v>40</v>
      </c>
      <c r="I516" s="22">
        <f>_xlfn.XLOOKUP(tblAnalysis[[#This Row],[Product ID]], tblProducts[Product ID], tblProducts[Unit Cost])</f>
        <v>18</v>
      </c>
      <c r="J516" t="str">
        <f>_xlfn.XLOOKUP(tblAnalysis[[#This Row],[Rep ID]], tblReps[Rep ID], tblReps[Sales Rep])</f>
        <v>Sarah</v>
      </c>
      <c r="K516" t="str">
        <f>_xlfn.XLOOKUP(tblAnalysis[[#This Row],[Rep ID]], tblReps[Rep ID], tblReps[Region])</f>
        <v>Chicago</v>
      </c>
      <c r="L516" s="22">
        <f>tblAnalysis[[#This Row],[Quantity]]*tblAnalysis[[#This Row],[Unit Price]]</f>
        <v>120</v>
      </c>
      <c r="M516" s="22">
        <f>tblAnalysis[[#This Row],[Quantity]]*(tblAnalysis[[#This Row],[Unit Price]]-tblAnalysis[[#This Row],[Unit Cost]])</f>
        <v>66</v>
      </c>
    </row>
    <row r="517" spans="1:13">
      <c r="A517" t="s">
        <v>571</v>
      </c>
      <c r="B517" s="1">
        <v>45968</v>
      </c>
      <c r="C517" t="s">
        <v>41</v>
      </c>
      <c r="D517" t="s">
        <v>8</v>
      </c>
      <c r="E517">
        <v>7</v>
      </c>
      <c r="F517" t="str">
        <f>_xlfn.XLOOKUP(tblAnalysis[[#This Row],[Product ID]], tblProducts[Product ID], tblProducts[Product Name])</f>
        <v>Mouse</v>
      </c>
      <c r="G517" t="str">
        <f>_xlfn.XLOOKUP(tblAnalysis[[#This Row],[Product ID]], tblProducts[Product ID], tblProducts[Category])</f>
        <v>Electronics</v>
      </c>
      <c r="H517" s="22">
        <f>_xlfn.XLOOKUP(tblAnalysis[[#This Row],[Product ID]], tblProducts[Product ID], tblProducts[Unit Price])</f>
        <v>25</v>
      </c>
      <c r="I517" s="22">
        <f>_xlfn.XLOOKUP(tblAnalysis[[#This Row],[Product ID]], tblProducts[Product ID], tblProducts[Unit Cost])</f>
        <v>12</v>
      </c>
      <c r="J517" t="str">
        <f>_xlfn.XLOOKUP(tblAnalysis[[#This Row],[Rep ID]], tblReps[Rep ID], tblReps[Sales Rep])</f>
        <v>Sarah</v>
      </c>
      <c r="K517" t="str">
        <f>_xlfn.XLOOKUP(tblAnalysis[[#This Row],[Rep ID]], tblReps[Rep ID], tblReps[Region])</f>
        <v>Chicago</v>
      </c>
      <c r="L517" s="22">
        <f>tblAnalysis[[#This Row],[Quantity]]*tblAnalysis[[#This Row],[Unit Price]]</f>
        <v>175</v>
      </c>
      <c r="M517" s="22">
        <f>tblAnalysis[[#This Row],[Quantity]]*(tblAnalysis[[#This Row],[Unit Price]]-tblAnalysis[[#This Row],[Unit Cost]])</f>
        <v>91</v>
      </c>
    </row>
    <row r="518" spans="1:13">
      <c r="A518" t="s">
        <v>572</v>
      </c>
      <c r="B518" s="1">
        <v>45970</v>
      </c>
      <c r="C518" t="s">
        <v>49</v>
      </c>
      <c r="D518" t="s">
        <v>21</v>
      </c>
      <c r="E518">
        <v>9</v>
      </c>
      <c r="F518" t="str">
        <f>_xlfn.XLOOKUP(tblAnalysis[[#This Row],[Product ID]], tblProducts[Product ID], tblProducts[Product Name])</f>
        <v>T-Shirt</v>
      </c>
      <c r="G518" t="str">
        <f>_xlfn.XLOOKUP(tblAnalysis[[#This Row],[Product ID]], tblProducts[Product ID], tblProducts[Category])</f>
        <v>Fashion</v>
      </c>
      <c r="H518" s="22">
        <f>_xlfn.XLOOKUP(tblAnalysis[[#This Row],[Product ID]], tblProducts[Product ID], tblProducts[Unit Price])</f>
        <v>20</v>
      </c>
      <c r="I518" s="22">
        <f>_xlfn.XLOOKUP(tblAnalysis[[#This Row],[Product ID]], tblProducts[Product ID], tblProducts[Unit Cost])</f>
        <v>8</v>
      </c>
      <c r="J518" t="str">
        <f>_xlfn.XLOOKUP(tblAnalysis[[#This Row],[Rep ID]], tblReps[Rep ID], tblReps[Sales Rep])</f>
        <v>Emma</v>
      </c>
      <c r="K518" t="str">
        <f>_xlfn.XLOOKUP(tblAnalysis[[#This Row],[Rep ID]], tblReps[Rep ID], tblReps[Region])</f>
        <v>Miami</v>
      </c>
      <c r="L518" s="22">
        <f>tblAnalysis[[#This Row],[Quantity]]*tblAnalysis[[#This Row],[Unit Price]]</f>
        <v>180</v>
      </c>
      <c r="M518" s="22">
        <f>tblAnalysis[[#This Row],[Quantity]]*(tblAnalysis[[#This Row],[Unit Price]]-tblAnalysis[[#This Row],[Unit Cost]])</f>
        <v>108</v>
      </c>
    </row>
    <row r="519" spans="1:13">
      <c r="A519" t="s">
        <v>573</v>
      </c>
      <c r="B519" s="1">
        <v>45971</v>
      </c>
      <c r="C519" t="s">
        <v>49</v>
      </c>
      <c r="D519" t="s">
        <v>12</v>
      </c>
      <c r="E519">
        <v>3</v>
      </c>
      <c r="F519" t="str">
        <f>_xlfn.XLOOKUP(tblAnalysis[[#This Row],[Product ID]], tblProducts[Product ID], tblProducts[Product Name])</f>
        <v>Webcam</v>
      </c>
      <c r="G519" t="str">
        <f>_xlfn.XLOOKUP(tblAnalysis[[#This Row],[Product ID]], tblProducts[Product ID], tblProducts[Category])</f>
        <v>Electronics</v>
      </c>
      <c r="H519" s="22">
        <f>_xlfn.XLOOKUP(tblAnalysis[[#This Row],[Product ID]], tblProducts[Product ID], tblProducts[Unit Price])</f>
        <v>60</v>
      </c>
      <c r="I519" s="22">
        <f>_xlfn.XLOOKUP(tblAnalysis[[#This Row],[Product ID]], tblProducts[Product ID], tblProducts[Unit Cost])</f>
        <v>35</v>
      </c>
      <c r="J519" t="str">
        <f>_xlfn.XLOOKUP(tblAnalysis[[#This Row],[Rep ID]], tblReps[Rep ID], tblReps[Sales Rep])</f>
        <v>Emma</v>
      </c>
      <c r="K519" t="str">
        <f>_xlfn.XLOOKUP(tblAnalysis[[#This Row],[Rep ID]], tblReps[Rep ID], tblReps[Region])</f>
        <v>Miami</v>
      </c>
      <c r="L519" s="22">
        <f>tblAnalysis[[#This Row],[Quantity]]*tblAnalysis[[#This Row],[Unit Price]]</f>
        <v>180</v>
      </c>
      <c r="M519" s="22">
        <f>tblAnalysis[[#This Row],[Quantity]]*(tblAnalysis[[#This Row],[Unit Price]]-tblAnalysis[[#This Row],[Unit Cost]])</f>
        <v>75</v>
      </c>
    </row>
    <row r="520" spans="1:13">
      <c r="A520" t="s">
        <v>574</v>
      </c>
      <c r="B520" s="1">
        <v>45971</v>
      </c>
      <c r="C520" t="s">
        <v>33</v>
      </c>
      <c r="D520" t="s">
        <v>24</v>
      </c>
      <c r="E520">
        <v>9</v>
      </c>
      <c r="F520" t="str">
        <f>_xlfn.XLOOKUP(tblAnalysis[[#This Row],[Product ID]], tblProducts[Product ID], tblProducts[Product Name])</f>
        <v>Pants</v>
      </c>
      <c r="G520" t="str">
        <f>_xlfn.XLOOKUP(tblAnalysis[[#This Row],[Product ID]], tblProducts[Product ID], tblProducts[Category])</f>
        <v>Fashion</v>
      </c>
      <c r="H520" s="22">
        <f>_xlfn.XLOOKUP(tblAnalysis[[#This Row],[Product ID]], tblProducts[Product ID], tblProducts[Unit Price])</f>
        <v>40</v>
      </c>
      <c r="I520" s="22">
        <f>_xlfn.XLOOKUP(tblAnalysis[[#This Row],[Product ID]], tblProducts[Product ID], tblProducts[Unit Cost])</f>
        <v>18</v>
      </c>
      <c r="J520" t="str">
        <f>_xlfn.XLOOKUP(tblAnalysis[[#This Row],[Rep ID]], tblReps[Rep ID], tblReps[Sales Rep])</f>
        <v>John</v>
      </c>
      <c r="K520" t="str">
        <f>_xlfn.XLOOKUP(tblAnalysis[[#This Row],[Rep ID]], tblReps[Rep ID], tblReps[Region])</f>
        <v>New York</v>
      </c>
      <c r="L520" s="22">
        <f>tblAnalysis[[#This Row],[Quantity]]*tblAnalysis[[#This Row],[Unit Price]]</f>
        <v>360</v>
      </c>
      <c r="M520" s="22">
        <f>tblAnalysis[[#This Row],[Quantity]]*(tblAnalysis[[#This Row],[Unit Price]]-tblAnalysis[[#This Row],[Unit Cost]])</f>
        <v>198</v>
      </c>
    </row>
    <row r="521" spans="1:13">
      <c r="A521" t="s">
        <v>575</v>
      </c>
      <c r="B521" s="1">
        <v>45971</v>
      </c>
      <c r="C521" t="s">
        <v>37</v>
      </c>
      <c r="D521" t="s">
        <v>12</v>
      </c>
      <c r="E521">
        <v>10</v>
      </c>
      <c r="F521" t="str">
        <f>_xlfn.XLOOKUP(tblAnalysis[[#This Row],[Product ID]], tblProducts[Product ID], tblProducts[Product Name])</f>
        <v>Webcam</v>
      </c>
      <c r="G521" t="str">
        <f>_xlfn.XLOOKUP(tblAnalysis[[#This Row],[Product ID]], tblProducts[Product ID], tblProducts[Category])</f>
        <v>Electronics</v>
      </c>
      <c r="H521" s="22">
        <f>_xlfn.XLOOKUP(tblAnalysis[[#This Row],[Product ID]], tblProducts[Product ID], tblProducts[Unit Price])</f>
        <v>60</v>
      </c>
      <c r="I521" s="22">
        <f>_xlfn.XLOOKUP(tblAnalysis[[#This Row],[Product ID]], tblProducts[Product ID], tblProducts[Unit Cost])</f>
        <v>35</v>
      </c>
      <c r="J521" t="str">
        <f>_xlfn.XLOOKUP(tblAnalysis[[#This Row],[Rep ID]], tblReps[Rep ID], tblReps[Sales Rep])</f>
        <v>Mike</v>
      </c>
      <c r="K521" t="str">
        <f>_xlfn.XLOOKUP(tblAnalysis[[#This Row],[Rep ID]], tblReps[Rep ID], tblReps[Region])</f>
        <v>Los Angeles</v>
      </c>
      <c r="L521" s="22">
        <f>tblAnalysis[[#This Row],[Quantity]]*tblAnalysis[[#This Row],[Unit Price]]</f>
        <v>600</v>
      </c>
      <c r="M521" s="22">
        <f>tblAnalysis[[#This Row],[Quantity]]*(tblAnalysis[[#This Row],[Unit Price]]-tblAnalysis[[#This Row],[Unit Cost]])</f>
        <v>250</v>
      </c>
    </row>
    <row r="522" spans="1:13">
      <c r="A522" t="s">
        <v>576</v>
      </c>
      <c r="B522" s="1">
        <v>45972</v>
      </c>
      <c r="C522" t="s">
        <v>41</v>
      </c>
      <c r="D522" t="s">
        <v>5</v>
      </c>
      <c r="E522">
        <v>8</v>
      </c>
      <c r="F522" t="str">
        <f>_xlfn.XLOOKUP(tblAnalysis[[#This Row],[Product ID]], tblProducts[Product ID], tblProducts[Product Name])</f>
        <v>Headset</v>
      </c>
      <c r="G522" t="str">
        <f>_xlfn.XLOOKUP(tblAnalysis[[#This Row],[Product ID]], tblProducts[Product ID], tblProducts[Category])</f>
        <v>Electronics</v>
      </c>
      <c r="H522" s="22">
        <f>_xlfn.XLOOKUP(tblAnalysis[[#This Row],[Product ID]], tblProducts[Product ID], tblProducts[Unit Price])</f>
        <v>75</v>
      </c>
      <c r="I522" s="22">
        <f>_xlfn.XLOOKUP(tblAnalysis[[#This Row],[Product ID]], tblProducts[Product ID], tblProducts[Unit Cost])</f>
        <v>45</v>
      </c>
      <c r="J522" t="str">
        <f>_xlfn.XLOOKUP(tblAnalysis[[#This Row],[Rep ID]], tblReps[Rep ID], tblReps[Sales Rep])</f>
        <v>Sarah</v>
      </c>
      <c r="K522" t="str">
        <f>_xlfn.XLOOKUP(tblAnalysis[[#This Row],[Rep ID]], tblReps[Rep ID], tblReps[Region])</f>
        <v>Chicago</v>
      </c>
      <c r="L522" s="22">
        <f>tblAnalysis[[#This Row],[Quantity]]*tblAnalysis[[#This Row],[Unit Price]]</f>
        <v>600</v>
      </c>
      <c r="M522" s="22">
        <f>tblAnalysis[[#This Row],[Quantity]]*(tblAnalysis[[#This Row],[Unit Price]]-tblAnalysis[[#This Row],[Unit Cost]])</f>
        <v>240</v>
      </c>
    </row>
    <row r="523" spans="1:13">
      <c r="A523" t="s">
        <v>577</v>
      </c>
      <c r="B523" s="1">
        <v>45973</v>
      </c>
      <c r="C523" t="s">
        <v>41</v>
      </c>
      <c r="D523" t="s">
        <v>8</v>
      </c>
      <c r="E523">
        <v>1</v>
      </c>
      <c r="F523" t="str">
        <f>_xlfn.XLOOKUP(tblAnalysis[[#This Row],[Product ID]], tblProducts[Product ID], tblProducts[Product Name])</f>
        <v>Mouse</v>
      </c>
      <c r="G523" t="str">
        <f>_xlfn.XLOOKUP(tblAnalysis[[#This Row],[Product ID]], tblProducts[Product ID], tblProducts[Category])</f>
        <v>Electronics</v>
      </c>
      <c r="H523" s="22">
        <f>_xlfn.XLOOKUP(tblAnalysis[[#This Row],[Product ID]], tblProducts[Product ID], tblProducts[Unit Price])</f>
        <v>25</v>
      </c>
      <c r="I523" s="22">
        <f>_xlfn.XLOOKUP(tblAnalysis[[#This Row],[Product ID]], tblProducts[Product ID], tblProducts[Unit Cost])</f>
        <v>12</v>
      </c>
      <c r="J523" t="str">
        <f>_xlfn.XLOOKUP(tblAnalysis[[#This Row],[Rep ID]], tblReps[Rep ID], tblReps[Sales Rep])</f>
        <v>Sarah</v>
      </c>
      <c r="K523" t="str">
        <f>_xlfn.XLOOKUP(tblAnalysis[[#This Row],[Rep ID]], tblReps[Rep ID], tblReps[Region])</f>
        <v>Chicago</v>
      </c>
      <c r="L523" s="22">
        <f>tblAnalysis[[#This Row],[Quantity]]*tblAnalysis[[#This Row],[Unit Price]]</f>
        <v>25</v>
      </c>
      <c r="M523" s="22">
        <f>tblAnalysis[[#This Row],[Quantity]]*(tblAnalysis[[#This Row],[Unit Price]]-tblAnalysis[[#This Row],[Unit Cost]])</f>
        <v>13</v>
      </c>
    </row>
    <row r="524" spans="1:13">
      <c r="A524" t="s">
        <v>578</v>
      </c>
      <c r="B524" s="1">
        <v>45973</v>
      </c>
      <c r="C524" t="s">
        <v>37</v>
      </c>
      <c r="D524" t="s">
        <v>10</v>
      </c>
      <c r="E524">
        <v>6</v>
      </c>
      <c r="F524" t="str">
        <f>_xlfn.XLOOKUP(tblAnalysis[[#This Row],[Product ID]], tblProducts[Product ID], tblProducts[Product Name])</f>
        <v>Keyboard</v>
      </c>
      <c r="G524" t="str">
        <f>_xlfn.XLOOKUP(tblAnalysis[[#This Row],[Product ID]], tblProducts[Product ID], tblProducts[Category])</f>
        <v>Electronics</v>
      </c>
      <c r="H524" s="22">
        <f>_xlfn.XLOOKUP(tblAnalysis[[#This Row],[Product ID]], tblProducts[Product ID], tblProducts[Unit Price])</f>
        <v>40</v>
      </c>
      <c r="I524" s="22">
        <f>_xlfn.XLOOKUP(tblAnalysis[[#This Row],[Product ID]], tblProducts[Product ID], tblProducts[Unit Cost])</f>
        <v>22</v>
      </c>
      <c r="J524" t="str">
        <f>_xlfn.XLOOKUP(tblAnalysis[[#This Row],[Rep ID]], tblReps[Rep ID], tblReps[Sales Rep])</f>
        <v>Mike</v>
      </c>
      <c r="K524" t="str">
        <f>_xlfn.XLOOKUP(tblAnalysis[[#This Row],[Rep ID]], tblReps[Rep ID], tblReps[Region])</f>
        <v>Los Angeles</v>
      </c>
      <c r="L524" s="22">
        <f>tblAnalysis[[#This Row],[Quantity]]*tblAnalysis[[#This Row],[Unit Price]]</f>
        <v>240</v>
      </c>
      <c r="M524" s="22">
        <f>tblAnalysis[[#This Row],[Quantity]]*(tblAnalysis[[#This Row],[Unit Price]]-tblAnalysis[[#This Row],[Unit Cost]])</f>
        <v>108</v>
      </c>
    </row>
    <row r="525" spans="1:13">
      <c r="A525" t="s">
        <v>579</v>
      </c>
      <c r="B525" s="1">
        <v>45974</v>
      </c>
      <c r="C525" t="s">
        <v>33</v>
      </c>
      <c r="D525" t="s">
        <v>17</v>
      </c>
      <c r="E525">
        <v>10</v>
      </c>
      <c r="F525" t="str">
        <f>_xlfn.XLOOKUP(tblAnalysis[[#This Row],[Product ID]], tblProducts[Product ID], tblProducts[Product Name])</f>
        <v>Iron</v>
      </c>
      <c r="G525" t="str">
        <f>_xlfn.XLOOKUP(tblAnalysis[[#This Row],[Product ID]], tblProducts[Product ID], tblProducts[Category])</f>
        <v>Home &amp; Living</v>
      </c>
      <c r="H525" s="22">
        <f>_xlfn.XLOOKUP(tblAnalysis[[#This Row],[Product ID]], tblProducts[Product ID], tblProducts[Unit Price])</f>
        <v>35</v>
      </c>
      <c r="I525" s="22">
        <f>_xlfn.XLOOKUP(tblAnalysis[[#This Row],[Product ID]], tblProducts[Product ID], tblProducts[Unit Cost])</f>
        <v>20</v>
      </c>
      <c r="J525" t="str">
        <f>_xlfn.XLOOKUP(tblAnalysis[[#This Row],[Rep ID]], tblReps[Rep ID], tblReps[Sales Rep])</f>
        <v>John</v>
      </c>
      <c r="K525" t="str">
        <f>_xlfn.XLOOKUP(tblAnalysis[[#This Row],[Rep ID]], tblReps[Rep ID], tblReps[Region])</f>
        <v>New York</v>
      </c>
      <c r="L525" s="22">
        <f>tblAnalysis[[#This Row],[Quantity]]*tblAnalysis[[#This Row],[Unit Price]]</f>
        <v>350</v>
      </c>
      <c r="M525" s="22">
        <f>tblAnalysis[[#This Row],[Quantity]]*(tblAnalysis[[#This Row],[Unit Price]]-tblAnalysis[[#This Row],[Unit Cost]])</f>
        <v>150</v>
      </c>
    </row>
    <row r="526" spans="1:13">
      <c r="A526" t="s">
        <v>580</v>
      </c>
      <c r="B526" s="1">
        <v>45975</v>
      </c>
      <c r="C526" t="s">
        <v>37</v>
      </c>
      <c r="D526" t="s">
        <v>17</v>
      </c>
      <c r="E526">
        <v>4</v>
      </c>
      <c r="F526" t="str">
        <f>_xlfn.XLOOKUP(tblAnalysis[[#This Row],[Product ID]], tblProducts[Product ID], tblProducts[Product Name])</f>
        <v>Iron</v>
      </c>
      <c r="G526" t="str">
        <f>_xlfn.XLOOKUP(tblAnalysis[[#This Row],[Product ID]], tblProducts[Product ID], tblProducts[Category])</f>
        <v>Home &amp; Living</v>
      </c>
      <c r="H526" s="22">
        <f>_xlfn.XLOOKUP(tblAnalysis[[#This Row],[Product ID]], tblProducts[Product ID], tblProducts[Unit Price])</f>
        <v>35</v>
      </c>
      <c r="I526" s="22">
        <f>_xlfn.XLOOKUP(tblAnalysis[[#This Row],[Product ID]], tblProducts[Product ID], tblProducts[Unit Cost])</f>
        <v>20</v>
      </c>
      <c r="J526" t="str">
        <f>_xlfn.XLOOKUP(tblAnalysis[[#This Row],[Rep ID]], tblReps[Rep ID], tblReps[Sales Rep])</f>
        <v>Mike</v>
      </c>
      <c r="K526" t="str">
        <f>_xlfn.XLOOKUP(tblAnalysis[[#This Row],[Rep ID]], tblReps[Rep ID], tblReps[Region])</f>
        <v>Los Angeles</v>
      </c>
      <c r="L526" s="22">
        <f>tblAnalysis[[#This Row],[Quantity]]*tblAnalysis[[#This Row],[Unit Price]]</f>
        <v>140</v>
      </c>
      <c r="M526" s="22">
        <f>tblAnalysis[[#This Row],[Quantity]]*(tblAnalysis[[#This Row],[Unit Price]]-tblAnalysis[[#This Row],[Unit Cost]])</f>
        <v>60</v>
      </c>
    </row>
    <row r="527" spans="1:13">
      <c r="A527" t="s">
        <v>581</v>
      </c>
      <c r="B527" s="1">
        <v>45975</v>
      </c>
      <c r="C527" t="s">
        <v>41</v>
      </c>
      <c r="D527" t="s">
        <v>10</v>
      </c>
      <c r="E527">
        <v>4</v>
      </c>
      <c r="F527" t="str">
        <f>_xlfn.XLOOKUP(tblAnalysis[[#This Row],[Product ID]], tblProducts[Product ID], tblProducts[Product Name])</f>
        <v>Keyboard</v>
      </c>
      <c r="G527" t="str">
        <f>_xlfn.XLOOKUP(tblAnalysis[[#This Row],[Product ID]], tblProducts[Product ID], tblProducts[Category])</f>
        <v>Electronics</v>
      </c>
      <c r="H527" s="22">
        <f>_xlfn.XLOOKUP(tblAnalysis[[#This Row],[Product ID]], tblProducts[Product ID], tblProducts[Unit Price])</f>
        <v>40</v>
      </c>
      <c r="I527" s="22">
        <f>_xlfn.XLOOKUP(tblAnalysis[[#This Row],[Product ID]], tblProducts[Product ID], tblProducts[Unit Cost])</f>
        <v>22</v>
      </c>
      <c r="J527" t="str">
        <f>_xlfn.XLOOKUP(tblAnalysis[[#This Row],[Rep ID]], tblReps[Rep ID], tblReps[Sales Rep])</f>
        <v>Sarah</v>
      </c>
      <c r="K527" t="str">
        <f>_xlfn.XLOOKUP(tblAnalysis[[#This Row],[Rep ID]], tblReps[Rep ID], tblReps[Region])</f>
        <v>Chicago</v>
      </c>
      <c r="L527" s="22">
        <f>tblAnalysis[[#This Row],[Quantity]]*tblAnalysis[[#This Row],[Unit Price]]</f>
        <v>160</v>
      </c>
      <c r="M527" s="22">
        <f>tblAnalysis[[#This Row],[Quantity]]*(tblAnalysis[[#This Row],[Unit Price]]-tblAnalysis[[#This Row],[Unit Cost]])</f>
        <v>72</v>
      </c>
    </row>
    <row r="528" spans="1:13">
      <c r="A528" t="s">
        <v>582</v>
      </c>
      <c r="B528" s="1">
        <v>45975</v>
      </c>
      <c r="C528" t="s">
        <v>41</v>
      </c>
      <c r="D528" t="s">
        <v>26</v>
      </c>
      <c r="E528">
        <v>10</v>
      </c>
      <c r="F528" t="str">
        <f>_xlfn.XLOOKUP(tblAnalysis[[#This Row],[Product ID]], tblProducts[Product ID], tblProducts[Product Name])</f>
        <v>Shoes</v>
      </c>
      <c r="G528" t="str">
        <f>_xlfn.XLOOKUP(tblAnalysis[[#This Row],[Product ID]], tblProducts[Product ID], tblProducts[Category])</f>
        <v>Fashion</v>
      </c>
      <c r="H528" s="22">
        <f>_xlfn.XLOOKUP(tblAnalysis[[#This Row],[Product ID]], tblProducts[Product ID], tblProducts[Unit Price])</f>
        <v>75</v>
      </c>
      <c r="I528" s="22">
        <f>_xlfn.XLOOKUP(tblAnalysis[[#This Row],[Product ID]], tblProducts[Product ID], tblProducts[Unit Cost])</f>
        <v>40</v>
      </c>
      <c r="J528" t="str">
        <f>_xlfn.XLOOKUP(tblAnalysis[[#This Row],[Rep ID]], tblReps[Rep ID], tblReps[Sales Rep])</f>
        <v>Sarah</v>
      </c>
      <c r="K528" t="str">
        <f>_xlfn.XLOOKUP(tblAnalysis[[#This Row],[Rep ID]], tblReps[Rep ID], tblReps[Region])</f>
        <v>Chicago</v>
      </c>
      <c r="L528" s="22">
        <f>tblAnalysis[[#This Row],[Quantity]]*tblAnalysis[[#This Row],[Unit Price]]</f>
        <v>750</v>
      </c>
      <c r="M528" s="22">
        <f>tblAnalysis[[#This Row],[Quantity]]*(tblAnalysis[[#This Row],[Unit Price]]-tblAnalysis[[#This Row],[Unit Cost]])</f>
        <v>350</v>
      </c>
    </row>
    <row r="529" spans="1:13">
      <c r="A529" t="s">
        <v>583</v>
      </c>
      <c r="B529" s="1">
        <v>45976</v>
      </c>
      <c r="C529" t="s">
        <v>45</v>
      </c>
      <c r="D529" t="s">
        <v>5</v>
      </c>
      <c r="E529">
        <v>1</v>
      </c>
      <c r="F529" t="str">
        <f>_xlfn.XLOOKUP(tblAnalysis[[#This Row],[Product ID]], tblProducts[Product ID], tblProducts[Product Name])</f>
        <v>Headset</v>
      </c>
      <c r="G529" t="str">
        <f>_xlfn.XLOOKUP(tblAnalysis[[#This Row],[Product ID]], tblProducts[Product ID], tblProducts[Category])</f>
        <v>Electronics</v>
      </c>
      <c r="H529" s="22">
        <f>_xlfn.XLOOKUP(tblAnalysis[[#This Row],[Product ID]], tblProducts[Product ID], tblProducts[Unit Price])</f>
        <v>75</v>
      </c>
      <c r="I529" s="22">
        <f>_xlfn.XLOOKUP(tblAnalysis[[#This Row],[Product ID]], tblProducts[Product ID], tblProducts[Unit Cost])</f>
        <v>45</v>
      </c>
      <c r="J529" t="str">
        <f>_xlfn.XLOOKUP(tblAnalysis[[#This Row],[Rep ID]], tblReps[Rep ID], tblReps[Sales Rep])</f>
        <v>David</v>
      </c>
      <c r="K529" t="str">
        <f>_xlfn.XLOOKUP(tblAnalysis[[#This Row],[Rep ID]], tblReps[Rep ID], tblReps[Region])</f>
        <v>Houston</v>
      </c>
      <c r="L529" s="22">
        <f>tblAnalysis[[#This Row],[Quantity]]*tblAnalysis[[#This Row],[Unit Price]]</f>
        <v>75</v>
      </c>
      <c r="M529" s="22">
        <f>tblAnalysis[[#This Row],[Quantity]]*(tblAnalysis[[#This Row],[Unit Price]]-tblAnalysis[[#This Row],[Unit Cost]])</f>
        <v>30</v>
      </c>
    </row>
    <row r="530" spans="1:13">
      <c r="A530" t="s">
        <v>584</v>
      </c>
      <c r="B530" s="1">
        <v>45977</v>
      </c>
      <c r="C530" t="s">
        <v>49</v>
      </c>
      <c r="D530" t="s">
        <v>17</v>
      </c>
      <c r="E530">
        <v>3</v>
      </c>
      <c r="F530" t="str">
        <f>_xlfn.XLOOKUP(tblAnalysis[[#This Row],[Product ID]], tblProducts[Product ID], tblProducts[Product Name])</f>
        <v>Iron</v>
      </c>
      <c r="G530" t="str">
        <f>_xlfn.XLOOKUP(tblAnalysis[[#This Row],[Product ID]], tblProducts[Product ID], tblProducts[Category])</f>
        <v>Home &amp; Living</v>
      </c>
      <c r="H530" s="22">
        <f>_xlfn.XLOOKUP(tblAnalysis[[#This Row],[Product ID]], tblProducts[Product ID], tblProducts[Unit Price])</f>
        <v>35</v>
      </c>
      <c r="I530" s="22">
        <f>_xlfn.XLOOKUP(tblAnalysis[[#This Row],[Product ID]], tblProducts[Product ID], tblProducts[Unit Cost])</f>
        <v>20</v>
      </c>
      <c r="J530" t="str">
        <f>_xlfn.XLOOKUP(tblAnalysis[[#This Row],[Rep ID]], tblReps[Rep ID], tblReps[Sales Rep])</f>
        <v>Emma</v>
      </c>
      <c r="K530" t="str">
        <f>_xlfn.XLOOKUP(tblAnalysis[[#This Row],[Rep ID]], tblReps[Rep ID], tblReps[Region])</f>
        <v>Miami</v>
      </c>
      <c r="L530" s="22">
        <f>tblAnalysis[[#This Row],[Quantity]]*tblAnalysis[[#This Row],[Unit Price]]</f>
        <v>105</v>
      </c>
      <c r="M530" s="22">
        <f>tblAnalysis[[#This Row],[Quantity]]*(tblAnalysis[[#This Row],[Unit Price]]-tblAnalysis[[#This Row],[Unit Cost]])</f>
        <v>45</v>
      </c>
    </row>
    <row r="531" spans="1:13">
      <c r="A531" t="s">
        <v>585</v>
      </c>
      <c r="B531" s="1">
        <v>45978</v>
      </c>
      <c r="C531" t="s">
        <v>49</v>
      </c>
      <c r="D531" t="s">
        <v>26</v>
      </c>
      <c r="E531">
        <v>8</v>
      </c>
      <c r="F531" t="str">
        <f>_xlfn.XLOOKUP(tblAnalysis[[#This Row],[Product ID]], tblProducts[Product ID], tblProducts[Product Name])</f>
        <v>Shoes</v>
      </c>
      <c r="G531" t="str">
        <f>_xlfn.XLOOKUP(tblAnalysis[[#This Row],[Product ID]], tblProducts[Product ID], tblProducts[Category])</f>
        <v>Fashion</v>
      </c>
      <c r="H531" s="22">
        <f>_xlfn.XLOOKUP(tblAnalysis[[#This Row],[Product ID]], tblProducts[Product ID], tblProducts[Unit Price])</f>
        <v>75</v>
      </c>
      <c r="I531" s="22">
        <f>_xlfn.XLOOKUP(tblAnalysis[[#This Row],[Product ID]], tblProducts[Product ID], tblProducts[Unit Cost])</f>
        <v>40</v>
      </c>
      <c r="J531" t="str">
        <f>_xlfn.XLOOKUP(tblAnalysis[[#This Row],[Rep ID]], tblReps[Rep ID], tblReps[Sales Rep])</f>
        <v>Emma</v>
      </c>
      <c r="K531" t="str">
        <f>_xlfn.XLOOKUP(tblAnalysis[[#This Row],[Rep ID]], tblReps[Rep ID], tblReps[Region])</f>
        <v>Miami</v>
      </c>
      <c r="L531" s="22">
        <f>tblAnalysis[[#This Row],[Quantity]]*tblAnalysis[[#This Row],[Unit Price]]</f>
        <v>600</v>
      </c>
      <c r="M531" s="22">
        <f>tblAnalysis[[#This Row],[Quantity]]*(tblAnalysis[[#This Row],[Unit Price]]-tblAnalysis[[#This Row],[Unit Cost]])</f>
        <v>280</v>
      </c>
    </row>
    <row r="532" spans="1:13">
      <c r="A532" t="s">
        <v>586</v>
      </c>
      <c r="B532" s="1">
        <v>45979</v>
      </c>
      <c r="C532" t="s">
        <v>37</v>
      </c>
      <c r="D532" t="s">
        <v>8</v>
      </c>
      <c r="E532">
        <v>4</v>
      </c>
      <c r="F532" t="str">
        <f>_xlfn.XLOOKUP(tblAnalysis[[#This Row],[Product ID]], tblProducts[Product ID], tblProducts[Product Name])</f>
        <v>Mouse</v>
      </c>
      <c r="G532" t="str">
        <f>_xlfn.XLOOKUP(tblAnalysis[[#This Row],[Product ID]], tblProducts[Product ID], tblProducts[Category])</f>
        <v>Electronics</v>
      </c>
      <c r="H532" s="22">
        <f>_xlfn.XLOOKUP(tblAnalysis[[#This Row],[Product ID]], tblProducts[Product ID], tblProducts[Unit Price])</f>
        <v>25</v>
      </c>
      <c r="I532" s="22">
        <f>_xlfn.XLOOKUP(tblAnalysis[[#This Row],[Product ID]], tblProducts[Product ID], tblProducts[Unit Cost])</f>
        <v>12</v>
      </c>
      <c r="J532" t="str">
        <f>_xlfn.XLOOKUP(tblAnalysis[[#This Row],[Rep ID]], tblReps[Rep ID], tblReps[Sales Rep])</f>
        <v>Mike</v>
      </c>
      <c r="K532" t="str">
        <f>_xlfn.XLOOKUP(tblAnalysis[[#This Row],[Rep ID]], tblReps[Rep ID], tblReps[Region])</f>
        <v>Los Angeles</v>
      </c>
      <c r="L532" s="22">
        <f>tblAnalysis[[#This Row],[Quantity]]*tblAnalysis[[#This Row],[Unit Price]]</f>
        <v>100</v>
      </c>
      <c r="M532" s="22">
        <f>tblAnalysis[[#This Row],[Quantity]]*(tblAnalysis[[#This Row],[Unit Price]]-tblAnalysis[[#This Row],[Unit Cost]])</f>
        <v>52</v>
      </c>
    </row>
    <row r="533" spans="1:13">
      <c r="A533" t="s">
        <v>587</v>
      </c>
      <c r="B533" s="1">
        <v>45980</v>
      </c>
      <c r="C533" t="s">
        <v>45</v>
      </c>
      <c r="D533" t="s">
        <v>5</v>
      </c>
      <c r="E533">
        <v>2</v>
      </c>
      <c r="F533" t="str">
        <f>_xlfn.XLOOKUP(tblAnalysis[[#This Row],[Product ID]], tblProducts[Product ID], tblProducts[Product Name])</f>
        <v>Headset</v>
      </c>
      <c r="G533" t="str">
        <f>_xlfn.XLOOKUP(tblAnalysis[[#This Row],[Product ID]], tblProducts[Product ID], tblProducts[Category])</f>
        <v>Electronics</v>
      </c>
      <c r="H533" s="22">
        <f>_xlfn.XLOOKUP(tblAnalysis[[#This Row],[Product ID]], tblProducts[Product ID], tblProducts[Unit Price])</f>
        <v>75</v>
      </c>
      <c r="I533" s="22">
        <f>_xlfn.XLOOKUP(tblAnalysis[[#This Row],[Product ID]], tblProducts[Product ID], tblProducts[Unit Cost])</f>
        <v>45</v>
      </c>
      <c r="J533" t="str">
        <f>_xlfn.XLOOKUP(tblAnalysis[[#This Row],[Rep ID]], tblReps[Rep ID], tblReps[Sales Rep])</f>
        <v>David</v>
      </c>
      <c r="K533" t="str">
        <f>_xlfn.XLOOKUP(tblAnalysis[[#This Row],[Rep ID]], tblReps[Rep ID], tblReps[Region])</f>
        <v>Houston</v>
      </c>
      <c r="L533" s="22">
        <f>tblAnalysis[[#This Row],[Quantity]]*tblAnalysis[[#This Row],[Unit Price]]</f>
        <v>150</v>
      </c>
      <c r="M533" s="22">
        <f>tblAnalysis[[#This Row],[Quantity]]*(tblAnalysis[[#This Row],[Unit Price]]-tblAnalysis[[#This Row],[Unit Cost]])</f>
        <v>60</v>
      </c>
    </row>
    <row r="534" spans="1:13">
      <c r="A534" t="s">
        <v>588</v>
      </c>
      <c r="B534" s="1">
        <v>45980</v>
      </c>
      <c r="C534" t="s">
        <v>49</v>
      </c>
      <c r="D534" t="s">
        <v>8</v>
      </c>
      <c r="E534">
        <v>2</v>
      </c>
      <c r="F534" t="str">
        <f>_xlfn.XLOOKUP(tblAnalysis[[#This Row],[Product ID]], tblProducts[Product ID], tblProducts[Product Name])</f>
        <v>Mouse</v>
      </c>
      <c r="G534" t="str">
        <f>_xlfn.XLOOKUP(tblAnalysis[[#This Row],[Product ID]], tblProducts[Product ID], tblProducts[Category])</f>
        <v>Electronics</v>
      </c>
      <c r="H534" s="22">
        <f>_xlfn.XLOOKUP(tblAnalysis[[#This Row],[Product ID]], tblProducts[Product ID], tblProducts[Unit Price])</f>
        <v>25</v>
      </c>
      <c r="I534" s="22">
        <f>_xlfn.XLOOKUP(tblAnalysis[[#This Row],[Product ID]], tblProducts[Product ID], tblProducts[Unit Cost])</f>
        <v>12</v>
      </c>
      <c r="J534" t="str">
        <f>_xlfn.XLOOKUP(tblAnalysis[[#This Row],[Rep ID]], tblReps[Rep ID], tblReps[Sales Rep])</f>
        <v>Emma</v>
      </c>
      <c r="K534" t="str">
        <f>_xlfn.XLOOKUP(tblAnalysis[[#This Row],[Rep ID]], tblReps[Rep ID], tblReps[Region])</f>
        <v>Miami</v>
      </c>
      <c r="L534" s="22">
        <f>tblAnalysis[[#This Row],[Quantity]]*tblAnalysis[[#This Row],[Unit Price]]</f>
        <v>50</v>
      </c>
      <c r="M534" s="22">
        <f>tblAnalysis[[#This Row],[Quantity]]*(tblAnalysis[[#This Row],[Unit Price]]-tblAnalysis[[#This Row],[Unit Cost]])</f>
        <v>26</v>
      </c>
    </row>
    <row r="535" spans="1:13">
      <c r="A535" t="s">
        <v>589</v>
      </c>
      <c r="B535" s="1">
        <v>45980</v>
      </c>
      <c r="C535" t="s">
        <v>45</v>
      </c>
      <c r="D535" t="s">
        <v>5</v>
      </c>
      <c r="E535">
        <v>9</v>
      </c>
      <c r="F535" t="str">
        <f>_xlfn.XLOOKUP(tblAnalysis[[#This Row],[Product ID]], tblProducts[Product ID], tblProducts[Product Name])</f>
        <v>Headset</v>
      </c>
      <c r="G535" t="str">
        <f>_xlfn.XLOOKUP(tblAnalysis[[#This Row],[Product ID]], tblProducts[Product ID], tblProducts[Category])</f>
        <v>Electronics</v>
      </c>
      <c r="H535" s="22">
        <f>_xlfn.XLOOKUP(tblAnalysis[[#This Row],[Product ID]], tblProducts[Product ID], tblProducts[Unit Price])</f>
        <v>75</v>
      </c>
      <c r="I535" s="22">
        <f>_xlfn.XLOOKUP(tblAnalysis[[#This Row],[Product ID]], tblProducts[Product ID], tblProducts[Unit Cost])</f>
        <v>45</v>
      </c>
      <c r="J535" t="str">
        <f>_xlfn.XLOOKUP(tblAnalysis[[#This Row],[Rep ID]], tblReps[Rep ID], tblReps[Sales Rep])</f>
        <v>David</v>
      </c>
      <c r="K535" t="str">
        <f>_xlfn.XLOOKUP(tblAnalysis[[#This Row],[Rep ID]], tblReps[Rep ID], tblReps[Region])</f>
        <v>Houston</v>
      </c>
      <c r="L535" s="22">
        <f>tblAnalysis[[#This Row],[Quantity]]*tblAnalysis[[#This Row],[Unit Price]]</f>
        <v>675</v>
      </c>
      <c r="M535" s="22">
        <f>tblAnalysis[[#This Row],[Quantity]]*(tblAnalysis[[#This Row],[Unit Price]]-tblAnalysis[[#This Row],[Unit Cost]])</f>
        <v>270</v>
      </c>
    </row>
    <row r="536" spans="1:13">
      <c r="A536" t="s">
        <v>590</v>
      </c>
      <c r="B536" s="1">
        <v>45981</v>
      </c>
      <c r="C536" t="s">
        <v>45</v>
      </c>
      <c r="D536" t="s">
        <v>24</v>
      </c>
      <c r="E536">
        <v>5</v>
      </c>
      <c r="F536" t="str">
        <f>_xlfn.XLOOKUP(tblAnalysis[[#This Row],[Product ID]], tblProducts[Product ID], tblProducts[Product Name])</f>
        <v>Pants</v>
      </c>
      <c r="G536" t="str">
        <f>_xlfn.XLOOKUP(tblAnalysis[[#This Row],[Product ID]], tblProducts[Product ID], tblProducts[Category])</f>
        <v>Fashion</v>
      </c>
      <c r="H536" s="22">
        <f>_xlfn.XLOOKUP(tblAnalysis[[#This Row],[Product ID]], tblProducts[Product ID], tblProducts[Unit Price])</f>
        <v>40</v>
      </c>
      <c r="I536" s="22">
        <f>_xlfn.XLOOKUP(tblAnalysis[[#This Row],[Product ID]], tblProducts[Product ID], tblProducts[Unit Cost])</f>
        <v>18</v>
      </c>
      <c r="J536" t="str">
        <f>_xlfn.XLOOKUP(tblAnalysis[[#This Row],[Rep ID]], tblReps[Rep ID], tblReps[Sales Rep])</f>
        <v>David</v>
      </c>
      <c r="K536" t="str">
        <f>_xlfn.XLOOKUP(tblAnalysis[[#This Row],[Rep ID]], tblReps[Rep ID], tblReps[Region])</f>
        <v>Houston</v>
      </c>
      <c r="L536" s="22">
        <f>tblAnalysis[[#This Row],[Quantity]]*tblAnalysis[[#This Row],[Unit Price]]</f>
        <v>200</v>
      </c>
      <c r="M536" s="22">
        <f>tblAnalysis[[#This Row],[Quantity]]*(tblAnalysis[[#This Row],[Unit Price]]-tblAnalysis[[#This Row],[Unit Cost]])</f>
        <v>110</v>
      </c>
    </row>
    <row r="537" spans="1:13">
      <c r="A537" t="s">
        <v>591</v>
      </c>
      <c r="B537" s="1">
        <v>45982</v>
      </c>
      <c r="C537" t="s">
        <v>41</v>
      </c>
      <c r="D537" t="s">
        <v>24</v>
      </c>
      <c r="E537">
        <v>8</v>
      </c>
      <c r="F537" t="str">
        <f>_xlfn.XLOOKUP(tblAnalysis[[#This Row],[Product ID]], tblProducts[Product ID], tblProducts[Product Name])</f>
        <v>Pants</v>
      </c>
      <c r="G537" t="str">
        <f>_xlfn.XLOOKUP(tblAnalysis[[#This Row],[Product ID]], tblProducts[Product ID], tblProducts[Category])</f>
        <v>Fashion</v>
      </c>
      <c r="H537" s="22">
        <f>_xlfn.XLOOKUP(tblAnalysis[[#This Row],[Product ID]], tblProducts[Product ID], tblProducts[Unit Price])</f>
        <v>40</v>
      </c>
      <c r="I537" s="22">
        <f>_xlfn.XLOOKUP(tblAnalysis[[#This Row],[Product ID]], tblProducts[Product ID], tblProducts[Unit Cost])</f>
        <v>18</v>
      </c>
      <c r="J537" t="str">
        <f>_xlfn.XLOOKUP(tblAnalysis[[#This Row],[Rep ID]], tblReps[Rep ID], tblReps[Sales Rep])</f>
        <v>Sarah</v>
      </c>
      <c r="K537" t="str">
        <f>_xlfn.XLOOKUP(tblAnalysis[[#This Row],[Rep ID]], tblReps[Rep ID], tblReps[Region])</f>
        <v>Chicago</v>
      </c>
      <c r="L537" s="22">
        <f>tblAnalysis[[#This Row],[Quantity]]*tblAnalysis[[#This Row],[Unit Price]]</f>
        <v>320</v>
      </c>
      <c r="M537" s="22">
        <f>tblAnalysis[[#This Row],[Quantity]]*(tblAnalysis[[#This Row],[Unit Price]]-tblAnalysis[[#This Row],[Unit Cost]])</f>
        <v>176</v>
      </c>
    </row>
    <row r="538" spans="1:13">
      <c r="A538" t="s">
        <v>592</v>
      </c>
      <c r="B538" s="1">
        <v>45982</v>
      </c>
      <c r="C538" t="s">
        <v>33</v>
      </c>
      <c r="D538" t="s">
        <v>19</v>
      </c>
      <c r="E538">
        <v>8</v>
      </c>
      <c r="F538" t="str">
        <f>_xlfn.XLOOKUP(tblAnalysis[[#This Row],[Product ID]], tblProducts[Product ID], tblProducts[Product Name])</f>
        <v>Fan</v>
      </c>
      <c r="G538" t="str">
        <f>_xlfn.XLOOKUP(tblAnalysis[[#This Row],[Product ID]], tblProducts[Product ID], tblProducts[Category])</f>
        <v>Home &amp; Living</v>
      </c>
      <c r="H538" s="22">
        <f>_xlfn.XLOOKUP(tblAnalysis[[#This Row],[Product ID]], tblProducts[Product ID], tblProducts[Unit Price])</f>
        <v>45</v>
      </c>
      <c r="I538" s="22">
        <f>_xlfn.XLOOKUP(tblAnalysis[[#This Row],[Product ID]], tblProducts[Product ID], tblProducts[Unit Cost])</f>
        <v>25</v>
      </c>
      <c r="J538" t="str">
        <f>_xlfn.XLOOKUP(tblAnalysis[[#This Row],[Rep ID]], tblReps[Rep ID], tblReps[Sales Rep])</f>
        <v>John</v>
      </c>
      <c r="K538" t="str">
        <f>_xlfn.XLOOKUP(tblAnalysis[[#This Row],[Rep ID]], tblReps[Rep ID], tblReps[Region])</f>
        <v>New York</v>
      </c>
      <c r="L538" s="22">
        <f>tblAnalysis[[#This Row],[Quantity]]*tblAnalysis[[#This Row],[Unit Price]]</f>
        <v>360</v>
      </c>
      <c r="M538" s="22">
        <f>tblAnalysis[[#This Row],[Quantity]]*(tblAnalysis[[#This Row],[Unit Price]]-tblAnalysis[[#This Row],[Unit Cost]])</f>
        <v>160</v>
      </c>
    </row>
    <row r="539" spans="1:13">
      <c r="A539" t="s">
        <v>593</v>
      </c>
      <c r="B539" s="1">
        <v>45982</v>
      </c>
      <c r="C539" t="s">
        <v>49</v>
      </c>
      <c r="D539" t="s">
        <v>24</v>
      </c>
      <c r="E539">
        <v>9</v>
      </c>
      <c r="F539" t="str">
        <f>_xlfn.XLOOKUP(tblAnalysis[[#This Row],[Product ID]], tblProducts[Product ID], tblProducts[Product Name])</f>
        <v>Pants</v>
      </c>
      <c r="G539" t="str">
        <f>_xlfn.XLOOKUP(tblAnalysis[[#This Row],[Product ID]], tblProducts[Product ID], tblProducts[Category])</f>
        <v>Fashion</v>
      </c>
      <c r="H539" s="22">
        <f>_xlfn.XLOOKUP(tblAnalysis[[#This Row],[Product ID]], tblProducts[Product ID], tblProducts[Unit Price])</f>
        <v>40</v>
      </c>
      <c r="I539" s="22">
        <f>_xlfn.XLOOKUP(tblAnalysis[[#This Row],[Product ID]], tblProducts[Product ID], tblProducts[Unit Cost])</f>
        <v>18</v>
      </c>
      <c r="J539" t="str">
        <f>_xlfn.XLOOKUP(tblAnalysis[[#This Row],[Rep ID]], tblReps[Rep ID], tblReps[Sales Rep])</f>
        <v>Emma</v>
      </c>
      <c r="K539" t="str">
        <f>_xlfn.XLOOKUP(tblAnalysis[[#This Row],[Rep ID]], tblReps[Rep ID], tblReps[Region])</f>
        <v>Miami</v>
      </c>
      <c r="L539" s="22">
        <f>tblAnalysis[[#This Row],[Quantity]]*tblAnalysis[[#This Row],[Unit Price]]</f>
        <v>360</v>
      </c>
      <c r="M539" s="22">
        <f>tblAnalysis[[#This Row],[Quantity]]*(tblAnalysis[[#This Row],[Unit Price]]-tblAnalysis[[#This Row],[Unit Cost]])</f>
        <v>198</v>
      </c>
    </row>
    <row r="540" spans="1:13">
      <c r="A540" t="s">
        <v>594</v>
      </c>
      <c r="B540" s="1">
        <v>45983</v>
      </c>
      <c r="C540" t="s">
        <v>49</v>
      </c>
      <c r="D540" t="s">
        <v>21</v>
      </c>
      <c r="E540">
        <v>10</v>
      </c>
      <c r="F540" t="str">
        <f>_xlfn.XLOOKUP(tblAnalysis[[#This Row],[Product ID]], tblProducts[Product ID], tblProducts[Product Name])</f>
        <v>T-Shirt</v>
      </c>
      <c r="G540" t="str">
        <f>_xlfn.XLOOKUP(tblAnalysis[[#This Row],[Product ID]], tblProducts[Product ID], tblProducts[Category])</f>
        <v>Fashion</v>
      </c>
      <c r="H540" s="22">
        <f>_xlfn.XLOOKUP(tblAnalysis[[#This Row],[Product ID]], tblProducts[Product ID], tblProducts[Unit Price])</f>
        <v>20</v>
      </c>
      <c r="I540" s="22">
        <f>_xlfn.XLOOKUP(tblAnalysis[[#This Row],[Product ID]], tblProducts[Product ID], tblProducts[Unit Cost])</f>
        <v>8</v>
      </c>
      <c r="J540" t="str">
        <f>_xlfn.XLOOKUP(tblAnalysis[[#This Row],[Rep ID]], tblReps[Rep ID], tblReps[Sales Rep])</f>
        <v>Emma</v>
      </c>
      <c r="K540" t="str">
        <f>_xlfn.XLOOKUP(tblAnalysis[[#This Row],[Rep ID]], tblReps[Rep ID], tblReps[Region])</f>
        <v>Miami</v>
      </c>
      <c r="L540" s="22">
        <f>tblAnalysis[[#This Row],[Quantity]]*tblAnalysis[[#This Row],[Unit Price]]</f>
        <v>200</v>
      </c>
      <c r="M540" s="22">
        <f>tblAnalysis[[#This Row],[Quantity]]*(tblAnalysis[[#This Row],[Unit Price]]-tblAnalysis[[#This Row],[Unit Cost]])</f>
        <v>120</v>
      </c>
    </row>
    <row r="541" spans="1:13">
      <c r="A541" t="s">
        <v>595</v>
      </c>
      <c r="B541" s="1">
        <v>45983</v>
      </c>
      <c r="C541" t="s">
        <v>49</v>
      </c>
      <c r="D541" t="s">
        <v>26</v>
      </c>
      <c r="E541">
        <v>9</v>
      </c>
      <c r="F541" t="str">
        <f>_xlfn.XLOOKUP(tblAnalysis[[#This Row],[Product ID]], tblProducts[Product ID], tblProducts[Product Name])</f>
        <v>Shoes</v>
      </c>
      <c r="G541" t="str">
        <f>_xlfn.XLOOKUP(tblAnalysis[[#This Row],[Product ID]], tblProducts[Product ID], tblProducts[Category])</f>
        <v>Fashion</v>
      </c>
      <c r="H541" s="22">
        <f>_xlfn.XLOOKUP(tblAnalysis[[#This Row],[Product ID]], tblProducts[Product ID], tblProducts[Unit Price])</f>
        <v>75</v>
      </c>
      <c r="I541" s="22">
        <f>_xlfn.XLOOKUP(tblAnalysis[[#This Row],[Product ID]], tblProducts[Product ID], tblProducts[Unit Cost])</f>
        <v>40</v>
      </c>
      <c r="J541" t="str">
        <f>_xlfn.XLOOKUP(tblAnalysis[[#This Row],[Rep ID]], tblReps[Rep ID], tblReps[Sales Rep])</f>
        <v>Emma</v>
      </c>
      <c r="K541" t="str">
        <f>_xlfn.XLOOKUP(tblAnalysis[[#This Row],[Rep ID]], tblReps[Rep ID], tblReps[Region])</f>
        <v>Miami</v>
      </c>
      <c r="L541" s="22">
        <f>tblAnalysis[[#This Row],[Quantity]]*tblAnalysis[[#This Row],[Unit Price]]</f>
        <v>675</v>
      </c>
      <c r="M541" s="22">
        <f>tblAnalysis[[#This Row],[Quantity]]*(tblAnalysis[[#This Row],[Unit Price]]-tblAnalysis[[#This Row],[Unit Cost]])</f>
        <v>315</v>
      </c>
    </row>
    <row r="542" spans="1:13">
      <c r="A542" t="s">
        <v>596</v>
      </c>
      <c r="B542" s="1">
        <v>45984</v>
      </c>
      <c r="C542" t="s">
        <v>49</v>
      </c>
      <c r="D542" t="s">
        <v>17</v>
      </c>
      <c r="E542">
        <v>5</v>
      </c>
      <c r="F542" t="str">
        <f>_xlfn.XLOOKUP(tblAnalysis[[#This Row],[Product ID]], tblProducts[Product ID], tblProducts[Product Name])</f>
        <v>Iron</v>
      </c>
      <c r="G542" t="str">
        <f>_xlfn.XLOOKUP(tblAnalysis[[#This Row],[Product ID]], tblProducts[Product ID], tblProducts[Category])</f>
        <v>Home &amp; Living</v>
      </c>
      <c r="H542" s="22">
        <f>_xlfn.XLOOKUP(tblAnalysis[[#This Row],[Product ID]], tblProducts[Product ID], tblProducts[Unit Price])</f>
        <v>35</v>
      </c>
      <c r="I542" s="22">
        <f>_xlfn.XLOOKUP(tblAnalysis[[#This Row],[Product ID]], tblProducts[Product ID], tblProducts[Unit Cost])</f>
        <v>20</v>
      </c>
      <c r="J542" t="str">
        <f>_xlfn.XLOOKUP(tblAnalysis[[#This Row],[Rep ID]], tblReps[Rep ID], tblReps[Sales Rep])</f>
        <v>Emma</v>
      </c>
      <c r="K542" t="str">
        <f>_xlfn.XLOOKUP(tblAnalysis[[#This Row],[Rep ID]], tblReps[Rep ID], tblReps[Region])</f>
        <v>Miami</v>
      </c>
      <c r="L542" s="22">
        <f>tblAnalysis[[#This Row],[Quantity]]*tblAnalysis[[#This Row],[Unit Price]]</f>
        <v>175</v>
      </c>
      <c r="M542" s="22">
        <f>tblAnalysis[[#This Row],[Quantity]]*(tblAnalysis[[#This Row],[Unit Price]]-tblAnalysis[[#This Row],[Unit Cost]])</f>
        <v>75</v>
      </c>
    </row>
    <row r="543" spans="1:13">
      <c r="A543" t="s">
        <v>597</v>
      </c>
      <c r="B543" s="1">
        <v>45984</v>
      </c>
      <c r="C543" t="s">
        <v>33</v>
      </c>
      <c r="D543" t="s">
        <v>17</v>
      </c>
      <c r="E543">
        <v>3</v>
      </c>
      <c r="F543" t="str">
        <f>_xlfn.XLOOKUP(tblAnalysis[[#This Row],[Product ID]], tblProducts[Product ID], tblProducts[Product Name])</f>
        <v>Iron</v>
      </c>
      <c r="G543" t="str">
        <f>_xlfn.XLOOKUP(tblAnalysis[[#This Row],[Product ID]], tblProducts[Product ID], tblProducts[Category])</f>
        <v>Home &amp; Living</v>
      </c>
      <c r="H543" s="22">
        <f>_xlfn.XLOOKUP(tblAnalysis[[#This Row],[Product ID]], tblProducts[Product ID], tblProducts[Unit Price])</f>
        <v>35</v>
      </c>
      <c r="I543" s="22">
        <f>_xlfn.XLOOKUP(tblAnalysis[[#This Row],[Product ID]], tblProducts[Product ID], tblProducts[Unit Cost])</f>
        <v>20</v>
      </c>
      <c r="J543" t="str">
        <f>_xlfn.XLOOKUP(tblAnalysis[[#This Row],[Rep ID]], tblReps[Rep ID], tblReps[Sales Rep])</f>
        <v>John</v>
      </c>
      <c r="K543" t="str">
        <f>_xlfn.XLOOKUP(tblAnalysis[[#This Row],[Rep ID]], tblReps[Rep ID], tblReps[Region])</f>
        <v>New York</v>
      </c>
      <c r="L543" s="22">
        <f>tblAnalysis[[#This Row],[Quantity]]*tblAnalysis[[#This Row],[Unit Price]]</f>
        <v>105</v>
      </c>
      <c r="M543" s="22">
        <f>tblAnalysis[[#This Row],[Quantity]]*(tblAnalysis[[#This Row],[Unit Price]]-tblAnalysis[[#This Row],[Unit Cost]])</f>
        <v>45</v>
      </c>
    </row>
    <row r="544" spans="1:13">
      <c r="A544" t="s">
        <v>598</v>
      </c>
      <c r="B544" s="1">
        <v>45985</v>
      </c>
      <c r="C544" t="s">
        <v>37</v>
      </c>
      <c r="D544" t="s">
        <v>14</v>
      </c>
      <c r="E544">
        <v>7</v>
      </c>
      <c r="F544" t="str">
        <f>_xlfn.XLOOKUP(tblAnalysis[[#This Row],[Product ID]], tblProducts[Product ID], tblProducts[Product Name])</f>
        <v>Blender</v>
      </c>
      <c r="G544" t="str">
        <f>_xlfn.XLOOKUP(tblAnalysis[[#This Row],[Product ID]], tblProducts[Product ID], tblProducts[Category])</f>
        <v>Home &amp; Living</v>
      </c>
      <c r="H544" s="22">
        <f>_xlfn.XLOOKUP(tblAnalysis[[#This Row],[Product ID]], tblProducts[Product ID], tblProducts[Unit Price])</f>
        <v>50</v>
      </c>
      <c r="I544" s="22">
        <f>_xlfn.XLOOKUP(tblAnalysis[[#This Row],[Product ID]], tblProducts[Product ID], tblProducts[Unit Cost])</f>
        <v>30</v>
      </c>
      <c r="J544" t="str">
        <f>_xlfn.XLOOKUP(tblAnalysis[[#This Row],[Rep ID]], tblReps[Rep ID], tblReps[Sales Rep])</f>
        <v>Mike</v>
      </c>
      <c r="K544" t="str">
        <f>_xlfn.XLOOKUP(tblAnalysis[[#This Row],[Rep ID]], tblReps[Rep ID], tblReps[Region])</f>
        <v>Los Angeles</v>
      </c>
      <c r="L544" s="22">
        <f>tblAnalysis[[#This Row],[Quantity]]*tblAnalysis[[#This Row],[Unit Price]]</f>
        <v>350</v>
      </c>
      <c r="M544" s="22">
        <f>tblAnalysis[[#This Row],[Quantity]]*(tblAnalysis[[#This Row],[Unit Price]]-tblAnalysis[[#This Row],[Unit Cost]])</f>
        <v>140</v>
      </c>
    </row>
    <row r="545" spans="1:13">
      <c r="A545" t="s">
        <v>599</v>
      </c>
      <c r="B545" s="1">
        <v>45986</v>
      </c>
      <c r="C545" t="s">
        <v>41</v>
      </c>
      <c r="D545" t="s">
        <v>12</v>
      </c>
      <c r="E545">
        <v>1</v>
      </c>
      <c r="F545" t="str">
        <f>_xlfn.XLOOKUP(tblAnalysis[[#This Row],[Product ID]], tblProducts[Product ID], tblProducts[Product Name])</f>
        <v>Webcam</v>
      </c>
      <c r="G545" t="str">
        <f>_xlfn.XLOOKUP(tblAnalysis[[#This Row],[Product ID]], tblProducts[Product ID], tblProducts[Category])</f>
        <v>Electronics</v>
      </c>
      <c r="H545" s="22">
        <f>_xlfn.XLOOKUP(tblAnalysis[[#This Row],[Product ID]], tblProducts[Product ID], tblProducts[Unit Price])</f>
        <v>60</v>
      </c>
      <c r="I545" s="22">
        <f>_xlfn.XLOOKUP(tblAnalysis[[#This Row],[Product ID]], tblProducts[Product ID], tblProducts[Unit Cost])</f>
        <v>35</v>
      </c>
      <c r="J545" t="str">
        <f>_xlfn.XLOOKUP(tblAnalysis[[#This Row],[Rep ID]], tblReps[Rep ID], tblReps[Sales Rep])</f>
        <v>Sarah</v>
      </c>
      <c r="K545" t="str">
        <f>_xlfn.XLOOKUP(tblAnalysis[[#This Row],[Rep ID]], tblReps[Rep ID], tblReps[Region])</f>
        <v>Chicago</v>
      </c>
      <c r="L545" s="22">
        <f>tblAnalysis[[#This Row],[Quantity]]*tblAnalysis[[#This Row],[Unit Price]]</f>
        <v>60</v>
      </c>
      <c r="M545" s="22">
        <f>tblAnalysis[[#This Row],[Quantity]]*(tblAnalysis[[#This Row],[Unit Price]]-tblAnalysis[[#This Row],[Unit Cost]])</f>
        <v>25</v>
      </c>
    </row>
    <row r="546" spans="1:13">
      <c r="A546" t="s">
        <v>600</v>
      </c>
      <c r="B546" s="1">
        <v>45987</v>
      </c>
      <c r="C546" t="s">
        <v>33</v>
      </c>
      <c r="D546" t="s">
        <v>14</v>
      </c>
      <c r="E546">
        <v>6</v>
      </c>
      <c r="F546" t="str">
        <f>_xlfn.XLOOKUP(tblAnalysis[[#This Row],[Product ID]], tblProducts[Product ID], tblProducts[Product Name])</f>
        <v>Blender</v>
      </c>
      <c r="G546" t="str">
        <f>_xlfn.XLOOKUP(tblAnalysis[[#This Row],[Product ID]], tblProducts[Product ID], tblProducts[Category])</f>
        <v>Home &amp; Living</v>
      </c>
      <c r="H546" s="22">
        <f>_xlfn.XLOOKUP(tblAnalysis[[#This Row],[Product ID]], tblProducts[Product ID], tblProducts[Unit Price])</f>
        <v>50</v>
      </c>
      <c r="I546" s="22">
        <f>_xlfn.XLOOKUP(tblAnalysis[[#This Row],[Product ID]], tblProducts[Product ID], tblProducts[Unit Cost])</f>
        <v>30</v>
      </c>
      <c r="J546" t="str">
        <f>_xlfn.XLOOKUP(tblAnalysis[[#This Row],[Rep ID]], tblReps[Rep ID], tblReps[Sales Rep])</f>
        <v>John</v>
      </c>
      <c r="K546" t="str">
        <f>_xlfn.XLOOKUP(tblAnalysis[[#This Row],[Rep ID]], tblReps[Rep ID], tblReps[Region])</f>
        <v>New York</v>
      </c>
      <c r="L546" s="22">
        <f>tblAnalysis[[#This Row],[Quantity]]*tblAnalysis[[#This Row],[Unit Price]]</f>
        <v>300</v>
      </c>
      <c r="M546" s="22">
        <f>tblAnalysis[[#This Row],[Quantity]]*(tblAnalysis[[#This Row],[Unit Price]]-tblAnalysis[[#This Row],[Unit Cost]])</f>
        <v>120</v>
      </c>
    </row>
    <row r="547" spans="1:13">
      <c r="A547" t="s">
        <v>601</v>
      </c>
      <c r="B547" s="1">
        <v>45988</v>
      </c>
      <c r="C547" t="s">
        <v>33</v>
      </c>
      <c r="D547" t="s">
        <v>17</v>
      </c>
      <c r="E547">
        <v>10</v>
      </c>
      <c r="F547" t="str">
        <f>_xlfn.XLOOKUP(tblAnalysis[[#This Row],[Product ID]], tblProducts[Product ID], tblProducts[Product Name])</f>
        <v>Iron</v>
      </c>
      <c r="G547" t="str">
        <f>_xlfn.XLOOKUP(tblAnalysis[[#This Row],[Product ID]], tblProducts[Product ID], tblProducts[Category])</f>
        <v>Home &amp; Living</v>
      </c>
      <c r="H547" s="22">
        <f>_xlfn.XLOOKUP(tblAnalysis[[#This Row],[Product ID]], tblProducts[Product ID], tblProducts[Unit Price])</f>
        <v>35</v>
      </c>
      <c r="I547" s="22">
        <f>_xlfn.XLOOKUP(tblAnalysis[[#This Row],[Product ID]], tblProducts[Product ID], tblProducts[Unit Cost])</f>
        <v>20</v>
      </c>
      <c r="J547" t="str">
        <f>_xlfn.XLOOKUP(tblAnalysis[[#This Row],[Rep ID]], tblReps[Rep ID], tblReps[Sales Rep])</f>
        <v>John</v>
      </c>
      <c r="K547" t="str">
        <f>_xlfn.XLOOKUP(tblAnalysis[[#This Row],[Rep ID]], tblReps[Rep ID], tblReps[Region])</f>
        <v>New York</v>
      </c>
      <c r="L547" s="22">
        <f>tblAnalysis[[#This Row],[Quantity]]*tblAnalysis[[#This Row],[Unit Price]]</f>
        <v>350</v>
      </c>
      <c r="M547" s="22">
        <f>tblAnalysis[[#This Row],[Quantity]]*(tblAnalysis[[#This Row],[Unit Price]]-tblAnalysis[[#This Row],[Unit Cost]])</f>
        <v>150</v>
      </c>
    </row>
    <row r="548" spans="1:13">
      <c r="A548" t="s">
        <v>602</v>
      </c>
      <c r="B548" s="1">
        <v>45988</v>
      </c>
      <c r="C548" t="s">
        <v>41</v>
      </c>
      <c r="D548" t="s">
        <v>19</v>
      </c>
      <c r="E548">
        <v>3</v>
      </c>
      <c r="F548" t="str">
        <f>_xlfn.XLOOKUP(tblAnalysis[[#This Row],[Product ID]], tblProducts[Product ID], tblProducts[Product Name])</f>
        <v>Fan</v>
      </c>
      <c r="G548" t="str">
        <f>_xlfn.XLOOKUP(tblAnalysis[[#This Row],[Product ID]], tblProducts[Product ID], tblProducts[Category])</f>
        <v>Home &amp; Living</v>
      </c>
      <c r="H548" s="22">
        <f>_xlfn.XLOOKUP(tblAnalysis[[#This Row],[Product ID]], tblProducts[Product ID], tblProducts[Unit Price])</f>
        <v>45</v>
      </c>
      <c r="I548" s="22">
        <f>_xlfn.XLOOKUP(tblAnalysis[[#This Row],[Product ID]], tblProducts[Product ID], tblProducts[Unit Cost])</f>
        <v>25</v>
      </c>
      <c r="J548" t="str">
        <f>_xlfn.XLOOKUP(tblAnalysis[[#This Row],[Rep ID]], tblReps[Rep ID], tblReps[Sales Rep])</f>
        <v>Sarah</v>
      </c>
      <c r="K548" t="str">
        <f>_xlfn.XLOOKUP(tblAnalysis[[#This Row],[Rep ID]], tblReps[Rep ID], tblReps[Region])</f>
        <v>Chicago</v>
      </c>
      <c r="L548" s="22">
        <f>tblAnalysis[[#This Row],[Quantity]]*tblAnalysis[[#This Row],[Unit Price]]</f>
        <v>135</v>
      </c>
      <c r="M548" s="22">
        <f>tblAnalysis[[#This Row],[Quantity]]*(tblAnalysis[[#This Row],[Unit Price]]-tblAnalysis[[#This Row],[Unit Cost]])</f>
        <v>60</v>
      </c>
    </row>
    <row r="549" spans="1:13">
      <c r="A549" t="s">
        <v>603</v>
      </c>
      <c r="B549" s="1">
        <v>45988</v>
      </c>
      <c r="C549" t="s">
        <v>33</v>
      </c>
      <c r="D549" t="s">
        <v>21</v>
      </c>
      <c r="E549">
        <v>10</v>
      </c>
      <c r="F549" t="str">
        <f>_xlfn.XLOOKUP(tblAnalysis[[#This Row],[Product ID]], tblProducts[Product ID], tblProducts[Product Name])</f>
        <v>T-Shirt</v>
      </c>
      <c r="G549" t="str">
        <f>_xlfn.XLOOKUP(tblAnalysis[[#This Row],[Product ID]], tblProducts[Product ID], tblProducts[Category])</f>
        <v>Fashion</v>
      </c>
      <c r="H549" s="22">
        <f>_xlfn.XLOOKUP(tblAnalysis[[#This Row],[Product ID]], tblProducts[Product ID], tblProducts[Unit Price])</f>
        <v>20</v>
      </c>
      <c r="I549" s="22">
        <f>_xlfn.XLOOKUP(tblAnalysis[[#This Row],[Product ID]], tblProducts[Product ID], tblProducts[Unit Cost])</f>
        <v>8</v>
      </c>
      <c r="J549" t="str">
        <f>_xlfn.XLOOKUP(tblAnalysis[[#This Row],[Rep ID]], tblReps[Rep ID], tblReps[Sales Rep])</f>
        <v>John</v>
      </c>
      <c r="K549" t="str">
        <f>_xlfn.XLOOKUP(tblAnalysis[[#This Row],[Rep ID]], tblReps[Rep ID], tblReps[Region])</f>
        <v>New York</v>
      </c>
      <c r="L549" s="22">
        <f>tblAnalysis[[#This Row],[Quantity]]*tblAnalysis[[#This Row],[Unit Price]]</f>
        <v>200</v>
      </c>
      <c r="M549" s="22">
        <f>tblAnalysis[[#This Row],[Quantity]]*(tblAnalysis[[#This Row],[Unit Price]]-tblAnalysis[[#This Row],[Unit Cost]])</f>
        <v>120</v>
      </c>
    </row>
    <row r="550" spans="1:13">
      <c r="A550" t="s">
        <v>604</v>
      </c>
      <c r="B550" s="1">
        <v>45993</v>
      </c>
      <c r="C550" t="s">
        <v>37</v>
      </c>
      <c r="D550" t="s">
        <v>10</v>
      </c>
      <c r="E550">
        <v>6</v>
      </c>
      <c r="F550" t="str">
        <f>_xlfn.XLOOKUP(tblAnalysis[[#This Row],[Product ID]], tblProducts[Product ID], tblProducts[Product Name])</f>
        <v>Keyboard</v>
      </c>
      <c r="G550" t="str">
        <f>_xlfn.XLOOKUP(tblAnalysis[[#This Row],[Product ID]], tblProducts[Product ID], tblProducts[Category])</f>
        <v>Electronics</v>
      </c>
      <c r="H550" s="22">
        <f>_xlfn.XLOOKUP(tblAnalysis[[#This Row],[Product ID]], tblProducts[Product ID], tblProducts[Unit Price])</f>
        <v>40</v>
      </c>
      <c r="I550" s="22">
        <f>_xlfn.XLOOKUP(tblAnalysis[[#This Row],[Product ID]], tblProducts[Product ID], tblProducts[Unit Cost])</f>
        <v>22</v>
      </c>
      <c r="J550" t="str">
        <f>_xlfn.XLOOKUP(tblAnalysis[[#This Row],[Rep ID]], tblReps[Rep ID], tblReps[Sales Rep])</f>
        <v>Mike</v>
      </c>
      <c r="K550" t="str">
        <f>_xlfn.XLOOKUP(tblAnalysis[[#This Row],[Rep ID]], tblReps[Rep ID], tblReps[Region])</f>
        <v>Los Angeles</v>
      </c>
      <c r="L550" s="22">
        <f>tblAnalysis[[#This Row],[Quantity]]*tblAnalysis[[#This Row],[Unit Price]]</f>
        <v>240</v>
      </c>
      <c r="M550" s="22">
        <f>tblAnalysis[[#This Row],[Quantity]]*(tblAnalysis[[#This Row],[Unit Price]]-tblAnalysis[[#This Row],[Unit Cost]])</f>
        <v>108</v>
      </c>
    </row>
    <row r="551" spans="1:13">
      <c r="A551" t="s">
        <v>605</v>
      </c>
      <c r="B551" s="1">
        <v>45994</v>
      </c>
      <c r="C551" t="s">
        <v>37</v>
      </c>
      <c r="D551" t="s">
        <v>10</v>
      </c>
      <c r="E551">
        <v>8</v>
      </c>
      <c r="F551" t="str">
        <f>_xlfn.XLOOKUP(tblAnalysis[[#This Row],[Product ID]], tblProducts[Product ID], tblProducts[Product Name])</f>
        <v>Keyboard</v>
      </c>
      <c r="G551" t="str">
        <f>_xlfn.XLOOKUP(tblAnalysis[[#This Row],[Product ID]], tblProducts[Product ID], tblProducts[Category])</f>
        <v>Electronics</v>
      </c>
      <c r="H551" s="22">
        <f>_xlfn.XLOOKUP(tblAnalysis[[#This Row],[Product ID]], tblProducts[Product ID], tblProducts[Unit Price])</f>
        <v>40</v>
      </c>
      <c r="I551" s="22">
        <f>_xlfn.XLOOKUP(tblAnalysis[[#This Row],[Product ID]], tblProducts[Product ID], tblProducts[Unit Cost])</f>
        <v>22</v>
      </c>
      <c r="J551" t="str">
        <f>_xlfn.XLOOKUP(tblAnalysis[[#This Row],[Rep ID]], tblReps[Rep ID], tblReps[Sales Rep])</f>
        <v>Mike</v>
      </c>
      <c r="K551" t="str">
        <f>_xlfn.XLOOKUP(tblAnalysis[[#This Row],[Rep ID]], tblReps[Rep ID], tblReps[Region])</f>
        <v>Los Angeles</v>
      </c>
      <c r="L551" s="22">
        <f>tblAnalysis[[#This Row],[Quantity]]*tblAnalysis[[#This Row],[Unit Price]]</f>
        <v>320</v>
      </c>
      <c r="M551" s="22">
        <f>tblAnalysis[[#This Row],[Quantity]]*(tblAnalysis[[#This Row],[Unit Price]]-tblAnalysis[[#This Row],[Unit Cost]])</f>
        <v>144</v>
      </c>
    </row>
    <row r="552" spans="1:13">
      <c r="A552" t="s">
        <v>606</v>
      </c>
      <c r="B552" s="1">
        <v>45995</v>
      </c>
      <c r="C552" t="s">
        <v>49</v>
      </c>
      <c r="D552" t="s">
        <v>26</v>
      </c>
      <c r="E552">
        <v>7</v>
      </c>
      <c r="F552" t="str">
        <f>_xlfn.XLOOKUP(tblAnalysis[[#This Row],[Product ID]], tblProducts[Product ID], tblProducts[Product Name])</f>
        <v>Shoes</v>
      </c>
      <c r="G552" t="str">
        <f>_xlfn.XLOOKUP(tblAnalysis[[#This Row],[Product ID]], tblProducts[Product ID], tblProducts[Category])</f>
        <v>Fashion</v>
      </c>
      <c r="H552" s="22">
        <f>_xlfn.XLOOKUP(tblAnalysis[[#This Row],[Product ID]], tblProducts[Product ID], tblProducts[Unit Price])</f>
        <v>75</v>
      </c>
      <c r="I552" s="22">
        <f>_xlfn.XLOOKUP(tblAnalysis[[#This Row],[Product ID]], tblProducts[Product ID], tblProducts[Unit Cost])</f>
        <v>40</v>
      </c>
      <c r="J552" t="str">
        <f>_xlfn.XLOOKUP(tblAnalysis[[#This Row],[Rep ID]], tblReps[Rep ID], tblReps[Sales Rep])</f>
        <v>Emma</v>
      </c>
      <c r="K552" t="str">
        <f>_xlfn.XLOOKUP(tblAnalysis[[#This Row],[Rep ID]], tblReps[Rep ID], tblReps[Region])</f>
        <v>Miami</v>
      </c>
      <c r="L552" s="22">
        <f>tblAnalysis[[#This Row],[Quantity]]*tblAnalysis[[#This Row],[Unit Price]]</f>
        <v>525</v>
      </c>
      <c r="M552" s="22">
        <f>tblAnalysis[[#This Row],[Quantity]]*(tblAnalysis[[#This Row],[Unit Price]]-tblAnalysis[[#This Row],[Unit Cost]])</f>
        <v>245</v>
      </c>
    </row>
    <row r="553" spans="1:13">
      <c r="A553" t="s">
        <v>607</v>
      </c>
      <c r="B553" s="1">
        <v>45995</v>
      </c>
      <c r="C553" t="s">
        <v>33</v>
      </c>
      <c r="D553" t="s">
        <v>19</v>
      </c>
      <c r="E553">
        <v>10</v>
      </c>
      <c r="F553" t="str">
        <f>_xlfn.XLOOKUP(tblAnalysis[[#This Row],[Product ID]], tblProducts[Product ID], tblProducts[Product Name])</f>
        <v>Fan</v>
      </c>
      <c r="G553" t="str">
        <f>_xlfn.XLOOKUP(tblAnalysis[[#This Row],[Product ID]], tblProducts[Product ID], tblProducts[Category])</f>
        <v>Home &amp; Living</v>
      </c>
      <c r="H553" s="22">
        <f>_xlfn.XLOOKUP(tblAnalysis[[#This Row],[Product ID]], tblProducts[Product ID], tblProducts[Unit Price])</f>
        <v>45</v>
      </c>
      <c r="I553" s="22">
        <f>_xlfn.XLOOKUP(tblAnalysis[[#This Row],[Product ID]], tblProducts[Product ID], tblProducts[Unit Cost])</f>
        <v>25</v>
      </c>
      <c r="J553" t="str">
        <f>_xlfn.XLOOKUP(tblAnalysis[[#This Row],[Rep ID]], tblReps[Rep ID], tblReps[Sales Rep])</f>
        <v>John</v>
      </c>
      <c r="K553" t="str">
        <f>_xlfn.XLOOKUP(tblAnalysis[[#This Row],[Rep ID]], tblReps[Rep ID], tblReps[Region])</f>
        <v>New York</v>
      </c>
      <c r="L553" s="22">
        <f>tblAnalysis[[#This Row],[Quantity]]*tblAnalysis[[#This Row],[Unit Price]]</f>
        <v>450</v>
      </c>
      <c r="M553" s="22">
        <f>tblAnalysis[[#This Row],[Quantity]]*(tblAnalysis[[#This Row],[Unit Price]]-tblAnalysis[[#This Row],[Unit Cost]])</f>
        <v>200</v>
      </c>
    </row>
    <row r="554" spans="1:13">
      <c r="A554" t="s">
        <v>608</v>
      </c>
      <c r="B554" s="1">
        <v>45995</v>
      </c>
      <c r="C554" t="s">
        <v>33</v>
      </c>
      <c r="D554" t="s">
        <v>12</v>
      </c>
      <c r="E554">
        <v>5</v>
      </c>
      <c r="F554" t="str">
        <f>_xlfn.XLOOKUP(tblAnalysis[[#This Row],[Product ID]], tblProducts[Product ID], tblProducts[Product Name])</f>
        <v>Webcam</v>
      </c>
      <c r="G554" t="str">
        <f>_xlfn.XLOOKUP(tblAnalysis[[#This Row],[Product ID]], tblProducts[Product ID], tblProducts[Category])</f>
        <v>Electronics</v>
      </c>
      <c r="H554" s="22">
        <f>_xlfn.XLOOKUP(tblAnalysis[[#This Row],[Product ID]], tblProducts[Product ID], tblProducts[Unit Price])</f>
        <v>60</v>
      </c>
      <c r="I554" s="22">
        <f>_xlfn.XLOOKUP(tblAnalysis[[#This Row],[Product ID]], tblProducts[Product ID], tblProducts[Unit Cost])</f>
        <v>35</v>
      </c>
      <c r="J554" t="str">
        <f>_xlfn.XLOOKUP(tblAnalysis[[#This Row],[Rep ID]], tblReps[Rep ID], tblReps[Sales Rep])</f>
        <v>John</v>
      </c>
      <c r="K554" t="str">
        <f>_xlfn.XLOOKUP(tblAnalysis[[#This Row],[Rep ID]], tblReps[Rep ID], tblReps[Region])</f>
        <v>New York</v>
      </c>
      <c r="L554" s="22">
        <f>tblAnalysis[[#This Row],[Quantity]]*tblAnalysis[[#This Row],[Unit Price]]</f>
        <v>300</v>
      </c>
      <c r="M554" s="22">
        <f>tblAnalysis[[#This Row],[Quantity]]*(tblAnalysis[[#This Row],[Unit Price]]-tblAnalysis[[#This Row],[Unit Cost]])</f>
        <v>125</v>
      </c>
    </row>
    <row r="555" spans="1:13">
      <c r="A555" t="s">
        <v>609</v>
      </c>
      <c r="B555" s="1">
        <v>45996</v>
      </c>
      <c r="C555" t="s">
        <v>49</v>
      </c>
      <c r="D555" t="s">
        <v>10</v>
      </c>
      <c r="E555">
        <v>5</v>
      </c>
      <c r="F555" t="str">
        <f>_xlfn.XLOOKUP(tblAnalysis[[#This Row],[Product ID]], tblProducts[Product ID], tblProducts[Product Name])</f>
        <v>Keyboard</v>
      </c>
      <c r="G555" t="str">
        <f>_xlfn.XLOOKUP(tblAnalysis[[#This Row],[Product ID]], tblProducts[Product ID], tblProducts[Category])</f>
        <v>Electronics</v>
      </c>
      <c r="H555" s="22">
        <f>_xlfn.XLOOKUP(tblAnalysis[[#This Row],[Product ID]], tblProducts[Product ID], tblProducts[Unit Price])</f>
        <v>40</v>
      </c>
      <c r="I555" s="22">
        <f>_xlfn.XLOOKUP(tblAnalysis[[#This Row],[Product ID]], tblProducts[Product ID], tblProducts[Unit Cost])</f>
        <v>22</v>
      </c>
      <c r="J555" t="str">
        <f>_xlfn.XLOOKUP(tblAnalysis[[#This Row],[Rep ID]], tblReps[Rep ID], tblReps[Sales Rep])</f>
        <v>Emma</v>
      </c>
      <c r="K555" t="str">
        <f>_xlfn.XLOOKUP(tblAnalysis[[#This Row],[Rep ID]], tblReps[Rep ID], tblReps[Region])</f>
        <v>Miami</v>
      </c>
      <c r="L555" s="22">
        <f>tblAnalysis[[#This Row],[Quantity]]*tblAnalysis[[#This Row],[Unit Price]]</f>
        <v>200</v>
      </c>
      <c r="M555" s="22">
        <f>tblAnalysis[[#This Row],[Quantity]]*(tblAnalysis[[#This Row],[Unit Price]]-tblAnalysis[[#This Row],[Unit Cost]])</f>
        <v>90</v>
      </c>
    </row>
    <row r="556" spans="1:13">
      <c r="A556" t="s">
        <v>610</v>
      </c>
      <c r="B556" s="1">
        <v>45997</v>
      </c>
      <c r="C556" t="s">
        <v>41</v>
      </c>
      <c r="D556" t="s">
        <v>10</v>
      </c>
      <c r="E556">
        <v>2</v>
      </c>
      <c r="F556" t="str">
        <f>_xlfn.XLOOKUP(tblAnalysis[[#This Row],[Product ID]], tblProducts[Product ID], tblProducts[Product Name])</f>
        <v>Keyboard</v>
      </c>
      <c r="G556" t="str">
        <f>_xlfn.XLOOKUP(tblAnalysis[[#This Row],[Product ID]], tblProducts[Product ID], tblProducts[Category])</f>
        <v>Electronics</v>
      </c>
      <c r="H556" s="22">
        <f>_xlfn.XLOOKUP(tblAnalysis[[#This Row],[Product ID]], tblProducts[Product ID], tblProducts[Unit Price])</f>
        <v>40</v>
      </c>
      <c r="I556" s="22">
        <f>_xlfn.XLOOKUP(tblAnalysis[[#This Row],[Product ID]], tblProducts[Product ID], tblProducts[Unit Cost])</f>
        <v>22</v>
      </c>
      <c r="J556" t="str">
        <f>_xlfn.XLOOKUP(tblAnalysis[[#This Row],[Rep ID]], tblReps[Rep ID], tblReps[Sales Rep])</f>
        <v>Sarah</v>
      </c>
      <c r="K556" t="str">
        <f>_xlfn.XLOOKUP(tblAnalysis[[#This Row],[Rep ID]], tblReps[Rep ID], tblReps[Region])</f>
        <v>Chicago</v>
      </c>
      <c r="L556" s="22">
        <f>tblAnalysis[[#This Row],[Quantity]]*tblAnalysis[[#This Row],[Unit Price]]</f>
        <v>80</v>
      </c>
      <c r="M556" s="22">
        <f>tblAnalysis[[#This Row],[Quantity]]*(tblAnalysis[[#This Row],[Unit Price]]-tblAnalysis[[#This Row],[Unit Cost]])</f>
        <v>36</v>
      </c>
    </row>
    <row r="557" spans="1:13">
      <c r="A557" t="s">
        <v>611</v>
      </c>
      <c r="B557" s="1">
        <v>45997</v>
      </c>
      <c r="C557" t="s">
        <v>33</v>
      </c>
      <c r="D557" t="s">
        <v>19</v>
      </c>
      <c r="E557">
        <v>4</v>
      </c>
      <c r="F557" t="str">
        <f>_xlfn.XLOOKUP(tblAnalysis[[#This Row],[Product ID]], tblProducts[Product ID], tblProducts[Product Name])</f>
        <v>Fan</v>
      </c>
      <c r="G557" t="str">
        <f>_xlfn.XLOOKUP(tblAnalysis[[#This Row],[Product ID]], tblProducts[Product ID], tblProducts[Category])</f>
        <v>Home &amp; Living</v>
      </c>
      <c r="H557" s="22">
        <f>_xlfn.XLOOKUP(tblAnalysis[[#This Row],[Product ID]], tblProducts[Product ID], tblProducts[Unit Price])</f>
        <v>45</v>
      </c>
      <c r="I557" s="22">
        <f>_xlfn.XLOOKUP(tblAnalysis[[#This Row],[Product ID]], tblProducts[Product ID], tblProducts[Unit Cost])</f>
        <v>25</v>
      </c>
      <c r="J557" t="str">
        <f>_xlfn.XLOOKUP(tblAnalysis[[#This Row],[Rep ID]], tblReps[Rep ID], tblReps[Sales Rep])</f>
        <v>John</v>
      </c>
      <c r="K557" t="str">
        <f>_xlfn.XLOOKUP(tblAnalysis[[#This Row],[Rep ID]], tblReps[Rep ID], tblReps[Region])</f>
        <v>New York</v>
      </c>
      <c r="L557" s="22">
        <f>tblAnalysis[[#This Row],[Quantity]]*tblAnalysis[[#This Row],[Unit Price]]</f>
        <v>180</v>
      </c>
      <c r="M557" s="22">
        <f>tblAnalysis[[#This Row],[Quantity]]*(tblAnalysis[[#This Row],[Unit Price]]-tblAnalysis[[#This Row],[Unit Cost]])</f>
        <v>80</v>
      </c>
    </row>
    <row r="558" spans="1:13">
      <c r="A558" t="s">
        <v>612</v>
      </c>
      <c r="B558" s="1">
        <v>45997</v>
      </c>
      <c r="C558" t="s">
        <v>45</v>
      </c>
      <c r="D558" t="s">
        <v>21</v>
      </c>
      <c r="E558">
        <v>6</v>
      </c>
      <c r="F558" t="str">
        <f>_xlfn.XLOOKUP(tblAnalysis[[#This Row],[Product ID]], tblProducts[Product ID], tblProducts[Product Name])</f>
        <v>T-Shirt</v>
      </c>
      <c r="G558" t="str">
        <f>_xlfn.XLOOKUP(tblAnalysis[[#This Row],[Product ID]], tblProducts[Product ID], tblProducts[Category])</f>
        <v>Fashion</v>
      </c>
      <c r="H558" s="22">
        <f>_xlfn.XLOOKUP(tblAnalysis[[#This Row],[Product ID]], tblProducts[Product ID], tblProducts[Unit Price])</f>
        <v>20</v>
      </c>
      <c r="I558" s="22">
        <f>_xlfn.XLOOKUP(tblAnalysis[[#This Row],[Product ID]], tblProducts[Product ID], tblProducts[Unit Cost])</f>
        <v>8</v>
      </c>
      <c r="J558" t="str">
        <f>_xlfn.XLOOKUP(tblAnalysis[[#This Row],[Rep ID]], tblReps[Rep ID], tblReps[Sales Rep])</f>
        <v>David</v>
      </c>
      <c r="K558" t="str">
        <f>_xlfn.XLOOKUP(tblAnalysis[[#This Row],[Rep ID]], tblReps[Rep ID], tblReps[Region])</f>
        <v>Houston</v>
      </c>
      <c r="L558" s="22">
        <f>tblAnalysis[[#This Row],[Quantity]]*tblAnalysis[[#This Row],[Unit Price]]</f>
        <v>120</v>
      </c>
      <c r="M558" s="22">
        <f>tblAnalysis[[#This Row],[Quantity]]*(tblAnalysis[[#This Row],[Unit Price]]-tblAnalysis[[#This Row],[Unit Cost]])</f>
        <v>72</v>
      </c>
    </row>
    <row r="559" spans="1:13">
      <c r="A559" t="s">
        <v>613</v>
      </c>
      <c r="B559" s="1">
        <v>45997</v>
      </c>
      <c r="C559" t="s">
        <v>49</v>
      </c>
      <c r="D559" t="s">
        <v>14</v>
      </c>
      <c r="E559">
        <v>6</v>
      </c>
      <c r="F559" t="str">
        <f>_xlfn.XLOOKUP(tblAnalysis[[#This Row],[Product ID]], tblProducts[Product ID], tblProducts[Product Name])</f>
        <v>Blender</v>
      </c>
      <c r="G559" t="str">
        <f>_xlfn.XLOOKUP(tblAnalysis[[#This Row],[Product ID]], tblProducts[Product ID], tblProducts[Category])</f>
        <v>Home &amp; Living</v>
      </c>
      <c r="H559" s="22">
        <f>_xlfn.XLOOKUP(tblAnalysis[[#This Row],[Product ID]], tblProducts[Product ID], tblProducts[Unit Price])</f>
        <v>50</v>
      </c>
      <c r="I559" s="22">
        <f>_xlfn.XLOOKUP(tblAnalysis[[#This Row],[Product ID]], tblProducts[Product ID], tblProducts[Unit Cost])</f>
        <v>30</v>
      </c>
      <c r="J559" t="str">
        <f>_xlfn.XLOOKUP(tblAnalysis[[#This Row],[Rep ID]], tblReps[Rep ID], tblReps[Sales Rep])</f>
        <v>Emma</v>
      </c>
      <c r="K559" t="str">
        <f>_xlfn.XLOOKUP(tblAnalysis[[#This Row],[Rep ID]], tblReps[Rep ID], tblReps[Region])</f>
        <v>Miami</v>
      </c>
      <c r="L559" s="22">
        <f>tblAnalysis[[#This Row],[Quantity]]*tblAnalysis[[#This Row],[Unit Price]]</f>
        <v>300</v>
      </c>
      <c r="M559" s="22">
        <f>tblAnalysis[[#This Row],[Quantity]]*(tblAnalysis[[#This Row],[Unit Price]]-tblAnalysis[[#This Row],[Unit Cost]])</f>
        <v>120</v>
      </c>
    </row>
    <row r="560" spans="1:13">
      <c r="A560" t="s">
        <v>614</v>
      </c>
      <c r="B560" s="1">
        <v>45998</v>
      </c>
      <c r="C560" t="s">
        <v>33</v>
      </c>
      <c r="D560" t="s">
        <v>26</v>
      </c>
      <c r="E560">
        <v>5</v>
      </c>
      <c r="F560" t="str">
        <f>_xlfn.XLOOKUP(tblAnalysis[[#This Row],[Product ID]], tblProducts[Product ID], tblProducts[Product Name])</f>
        <v>Shoes</v>
      </c>
      <c r="G560" t="str">
        <f>_xlfn.XLOOKUP(tblAnalysis[[#This Row],[Product ID]], tblProducts[Product ID], tblProducts[Category])</f>
        <v>Fashion</v>
      </c>
      <c r="H560" s="22">
        <f>_xlfn.XLOOKUP(tblAnalysis[[#This Row],[Product ID]], tblProducts[Product ID], tblProducts[Unit Price])</f>
        <v>75</v>
      </c>
      <c r="I560" s="22">
        <f>_xlfn.XLOOKUP(tblAnalysis[[#This Row],[Product ID]], tblProducts[Product ID], tblProducts[Unit Cost])</f>
        <v>40</v>
      </c>
      <c r="J560" t="str">
        <f>_xlfn.XLOOKUP(tblAnalysis[[#This Row],[Rep ID]], tblReps[Rep ID], tblReps[Sales Rep])</f>
        <v>John</v>
      </c>
      <c r="K560" t="str">
        <f>_xlfn.XLOOKUP(tblAnalysis[[#This Row],[Rep ID]], tblReps[Rep ID], tblReps[Region])</f>
        <v>New York</v>
      </c>
      <c r="L560" s="22">
        <f>tblAnalysis[[#This Row],[Quantity]]*tblAnalysis[[#This Row],[Unit Price]]</f>
        <v>375</v>
      </c>
      <c r="M560" s="22">
        <f>tblAnalysis[[#This Row],[Quantity]]*(tblAnalysis[[#This Row],[Unit Price]]-tblAnalysis[[#This Row],[Unit Cost]])</f>
        <v>175</v>
      </c>
    </row>
    <row r="561" spans="1:13">
      <c r="A561" t="s">
        <v>615</v>
      </c>
      <c r="B561" s="1">
        <v>45999</v>
      </c>
      <c r="C561" t="s">
        <v>37</v>
      </c>
      <c r="D561" t="s">
        <v>26</v>
      </c>
      <c r="E561">
        <v>7</v>
      </c>
      <c r="F561" t="str">
        <f>_xlfn.XLOOKUP(tblAnalysis[[#This Row],[Product ID]], tblProducts[Product ID], tblProducts[Product Name])</f>
        <v>Shoes</v>
      </c>
      <c r="G561" t="str">
        <f>_xlfn.XLOOKUP(tblAnalysis[[#This Row],[Product ID]], tblProducts[Product ID], tblProducts[Category])</f>
        <v>Fashion</v>
      </c>
      <c r="H561" s="22">
        <f>_xlfn.XLOOKUP(tblAnalysis[[#This Row],[Product ID]], tblProducts[Product ID], tblProducts[Unit Price])</f>
        <v>75</v>
      </c>
      <c r="I561" s="22">
        <f>_xlfn.XLOOKUP(tblAnalysis[[#This Row],[Product ID]], tblProducts[Product ID], tblProducts[Unit Cost])</f>
        <v>40</v>
      </c>
      <c r="J561" t="str">
        <f>_xlfn.XLOOKUP(tblAnalysis[[#This Row],[Rep ID]], tblReps[Rep ID], tblReps[Sales Rep])</f>
        <v>Mike</v>
      </c>
      <c r="K561" t="str">
        <f>_xlfn.XLOOKUP(tblAnalysis[[#This Row],[Rep ID]], tblReps[Rep ID], tblReps[Region])</f>
        <v>Los Angeles</v>
      </c>
      <c r="L561" s="22">
        <f>tblAnalysis[[#This Row],[Quantity]]*tblAnalysis[[#This Row],[Unit Price]]</f>
        <v>525</v>
      </c>
      <c r="M561" s="22">
        <f>tblAnalysis[[#This Row],[Quantity]]*(tblAnalysis[[#This Row],[Unit Price]]-tblAnalysis[[#This Row],[Unit Cost]])</f>
        <v>245</v>
      </c>
    </row>
    <row r="562" spans="1:13">
      <c r="A562" t="s">
        <v>616</v>
      </c>
      <c r="B562" s="1">
        <v>45999</v>
      </c>
      <c r="C562" t="s">
        <v>37</v>
      </c>
      <c r="D562" t="s">
        <v>12</v>
      </c>
      <c r="E562">
        <v>2</v>
      </c>
      <c r="F562" t="str">
        <f>_xlfn.XLOOKUP(tblAnalysis[[#This Row],[Product ID]], tblProducts[Product ID], tblProducts[Product Name])</f>
        <v>Webcam</v>
      </c>
      <c r="G562" t="str">
        <f>_xlfn.XLOOKUP(tblAnalysis[[#This Row],[Product ID]], tblProducts[Product ID], tblProducts[Category])</f>
        <v>Electronics</v>
      </c>
      <c r="H562" s="22">
        <f>_xlfn.XLOOKUP(tblAnalysis[[#This Row],[Product ID]], tblProducts[Product ID], tblProducts[Unit Price])</f>
        <v>60</v>
      </c>
      <c r="I562" s="22">
        <f>_xlfn.XLOOKUP(tblAnalysis[[#This Row],[Product ID]], tblProducts[Product ID], tblProducts[Unit Cost])</f>
        <v>35</v>
      </c>
      <c r="J562" t="str">
        <f>_xlfn.XLOOKUP(tblAnalysis[[#This Row],[Rep ID]], tblReps[Rep ID], tblReps[Sales Rep])</f>
        <v>Mike</v>
      </c>
      <c r="K562" t="str">
        <f>_xlfn.XLOOKUP(tblAnalysis[[#This Row],[Rep ID]], tblReps[Rep ID], tblReps[Region])</f>
        <v>Los Angeles</v>
      </c>
      <c r="L562" s="22">
        <f>tblAnalysis[[#This Row],[Quantity]]*tblAnalysis[[#This Row],[Unit Price]]</f>
        <v>120</v>
      </c>
      <c r="M562" s="22">
        <f>tblAnalysis[[#This Row],[Quantity]]*(tblAnalysis[[#This Row],[Unit Price]]-tblAnalysis[[#This Row],[Unit Cost]])</f>
        <v>50</v>
      </c>
    </row>
    <row r="563" spans="1:13">
      <c r="A563" t="s">
        <v>617</v>
      </c>
      <c r="B563" s="1">
        <v>45999</v>
      </c>
      <c r="C563" t="s">
        <v>49</v>
      </c>
      <c r="D563" t="s">
        <v>8</v>
      </c>
      <c r="E563">
        <v>8</v>
      </c>
      <c r="F563" t="str">
        <f>_xlfn.XLOOKUP(tblAnalysis[[#This Row],[Product ID]], tblProducts[Product ID], tblProducts[Product Name])</f>
        <v>Mouse</v>
      </c>
      <c r="G563" t="str">
        <f>_xlfn.XLOOKUP(tblAnalysis[[#This Row],[Product ID]], tblProducts[Product ID], tblProducts[Category])</f>
        <v>Electronics</v>
      </c>
      <c r="H563" s="22">
        <f>_xlfn.XLOOKUP(tblAnalysis[[#This Row],[Product ID]], tblProducts[Product ID], tblProducts[Unit Price])</f>
        <v>25</v>
      </c>
      <c r="I563" s="22">
        <f>_xlfn.XLOOKUP(tblAnalysis[[#This Row],[Product ID]], tblProducts[Product ID], tblProducts[Unit Cost])</f>
        <v>12</v>
      </c>
      <c r="J563" t="str">
        <f>_xlfn.XLOOKUP(tblAnalysis[[#This Row],[Rep ID]], tblReps[Rep ID], tblReps[Sales Rep])</f>
        <v>Emma</v>
      </c>
      <c r="K563" t="str">
        <f>_xlfn.XLOOKUP(tblAnalysis[[#This Row],[Rep ID]], tblReps[Rep ID], tblReps[Region])</f>
        <v>Miami</v>
      </c>
      <c r="L563" s="22">
        <f>tblAnalysis[[#This Row],[Quantity]]*tblAnalysis[[#This Row],[Unit Price]]</f>
        <v>200</v>
      </c>
      <c r="M563" s="22">
        <f>tblAnalysis[[#This Row],[Quantity]]*(tblAnalysis[[#This Row],[Unit Price]]-tblAnalysis[[#This Row],[Unit Cost]])</f>
        <v>104</v>
      </c>
    </row>
    <row r="564" spans="1:13">
      <c r="A564" t="s">
        <v>618</v>
      </c>
      <c r="B564" s="1">
        <v>45999</v>
      </c>
      <c r="C564" t="s">
        <v>49</v>
      </c>
      <c r="D564" t="s">
        <v>14</v>
      </c>
      <c r="E564">
        <v>1</v>
      </c>
      <c r="F564" t="str">
        <f>_xlfn.XLOOKUP(tblAnalysis[[#This Row],[Product ID]], tblProducts[Product ID], tblProducts[Product Name])</f>
        <v>Blender</v>
      </c>
      <c r="G564" t="str">
        <f>_xlfn.XLOOKUP(tblAnalysis[[#This Row],[Product ID]], tblProducts[Product ID], tblProducts[Category])</f>
        <v>Home &amp; Living</v>
      </c>
      <c r="H564" s="22">
        <f>_xlfn.XLOOKUP(tblAnalysis[[#This Row],[Product ID]], tblProducts[Product ID], tblProducts[Unit Price])</f>
        <v>50</v>
      </c>
      <c r="I564" s="22">
        <f>_xlfn.XLOOKUP(tblAnalysis[[#This Row],[Product ID]], tblProducts[Product ID], tblProducts[Unit Cost])</f>
        <v>30</v>
      </c>
      <c r="J564" t="str">
        <f>_xlfn.XLOOKUP(tblAnalysis[[#This Row],[Rep ID]], tblReps[Rep ID], tblReps[Sales Rep])</f>
        <v>Emma</v>
      </c>
      <c r="K564" t="str">
        <f>_xlfn.XLOOKUP(tblAnalysis[[#This Row],[Rep ID]], tblReps[Rep ID], tblReps[Region])</f>
        <v>Miami</v>
      </c>
      <c r="L564" s="22">
        <f>tblAnalysis[[#This Row],[Quantity]]*tblAnalysis[[#This Row],[Unit Price]]</f>
        <v>50</v>
      </c>
      <c r="M564" s="22">
        <f>tblAnalysis[[#This Row],[Quantity]]*(tblAnalysis[[#This Row],[Unit Price]]-tblAnalysis[[#This Row],[Unit Cost]])</f>
        <v>20</v>
      </c>
    </row>
    <row r="565" spans="1:13">
      <c r="A565" t="s">
        <v>619</v>
      </c>
      <c r="B565" s="1">
        <v>46000</v>
      </c>
      <c r="C565" t="s">
        <v>33</v>
      </c>
      <c r="D565" t="s">
        <v>17</v>
      </c>
      <c r="E565">
        <v>6</v>
      </c>
      <c r="F565" t="str">
        <f>_xlfn.XLOOKUP(tblAnalysis[[#This Row],[Product ID]], tblProducts[Product ID], tblProducts[Product Name])</f>
        <v>Iron</v>
      </c>
      <c r="G565" t="str">
        <f>_xlfn.XLOOKUP(tblAnalysis[[#This Row],[Product ID]], tblProducts[Product ID], tblProducts[Category])</f>
        <v>Home &amp; Living</v>
      </c>
      <c r="H565" s="22">
        <f>_xlfn.XLOOKUP(tblAnalysis[[#This Row],[Product ID]], tblProducts[Product ID], tblProducts[Unit Price])</f>
        <v>35</v>
      </c>
      <c r="I565" s="22">
        <f>_xlfn.XLOOKUP(tblAnalysis[[#This Row],[Product ID]], tblProducts[Product ID], tblProducts[Unit Cost])</f>
        <v>20</v>
      </c>
      <c r="J565" t="str">
        <f>_xlfn.XLOOKUP(tblAnalysis[[#This Row],[Rep ID]], tblReps[Rep ID], tblReps[Sales Rep])</f>
        <v>John</v>
      </c>
      <c r="K565" t="str">
        <f>_xlfn.XLOOKUP(tblAnalysis[[#This Row],[Rep ID]], tblReps[Rep ID], tblReps[Region])</f>
        <v>New York</v>
      </c>
      <c r="L565" s="22">
        <f>tblAnalysis[[#This Row],[Quantity]]*tblAnalysis[[#This Row],[Unit Price]]</f>
        <v>210</v>
      </c>
      <c r="M565" s="22">
        <f>tblAnalysis[[#This Row],[Quantity]]*(tblAnalysis[[#This Row],[Unit Price]]-tblAnalysis[[#This Row],[Unit Cost]])</f>
        <v>90</v>
      </c>
    </row>
    <row r="566" spans="1:13">
      <c r="A566" t="s">
        <v>620</v>
      </c>
      <c r="B566" s="1">
        <v>46001</v>
      </c>
      <c r="C566" t="s">
        <v>33</v>
      </c>
      <c r="D566" t="s">
        <v>19</v>
      </c>
      <c r="E566">
        <v>3</v>
      </c>
      <c r="F566" t="str">
        <f>_xlfn.XLOOKUP(tblAnalysis[[#This Row],[Product ID]], tblProducts[Product ID], tblProducts[Product Name])</f>
        <v>Fan</v>
      </c>
      <c r="G566" t="str">
        <f>_xlfn.XLOOKUP(tblAnalysis[[#This Row],[Product ID]], tblProducts[Product ID], tblProducts[Category])</f>
        <v>Home &amp; Living</v>
      </c>
      <c r="H566" s="22">
        <f>_xlfn.XLOOKUP(tblAnalysis[[#This Row],[Product ID]], tblProducts[Product ID], tblProducts[Unit Price])</f>
        <v>45</v>
      </c>
      <c r="I566" s="22">
        <f>_xlfn.XLOOKUP(tblAnalysis[[#This Row],[Product ID]], tblProducts[Product ID], tblProducts[Unit Cost])</f>
        <v>25</v>
      </c>
      <c r="J566" t="str">
        <f>_xlfn.XLOOKUP(tblAnalysis[[#This Row],[Rep ID]], tblReps[Rep ID], tblReps[Sales Rep])</f>
        <v>John</v>
      </c>
      <c r="K566" t="str">
        <f>_xlfn.XLOOKUP(tblAnalysis[[#This Row],[Rep ID]], tblReps[Rep ID], tblReps[Region])</f>
        <v>New York</v>
      </c>
      <c r="L566" s="22">
        <f>tblAnalysis[[#This Row],[Quantity]]*tblAnalysis[[#This Row],[Unit Price]]</f>
        <v>135</v>
      </c>
      <c r="M566" s="22">
        <f>tblAnalysis[[#This Row],[Quantity]]*(tblAnalysis[[#This Row],[Unit Price]]-tblAnalysis[[#This Row],[Unit Cost]])</f>
        <v>60</v>
      </c>
    </row>
    <row r="567" spans="1:13">
      <c r="A567" t="s">
        <v>621</v>
      </c>
      <c r="B567" s="1">
        <v>46001</v>
      </c>
      <c r="C567" t="s">
        <v>33</v>
      </c>
      <c r="D567" t="s">
        <v>8</v>
      </c>
      <c r="E567">
        <v>9</v>
      </c>
      <c r="F567" t="str">
        <f>_xlfn.XLOOKUP(tblAnalysis[[#This Row],[Product ID]], tblProducts[Product ID], tblProducts[Product Name])</f>
        <v>Mouse</v>
      </c>
      <c r="G567" t="str">
        <f>_xlfn.XLOOKUP(tblAnalysis[[#This Row],[Product ID]], tblProducts[Product ID], tblProducts[Category])</f>
        <v>Electronics</v>
      </c>
      <c r="H567" s="22">
        <f>_xlfn.XLOOKUP(tblAnalysis[[#This Row],[Product ID]], tblProducts[Product ID], tblProducts[Unit Price])</f>
        <v>25</v>
      </c>
      <c r="I567" s="22">
        <f>_xlfn.XLOOKUP(tblAnalysis[[#This Row],[Product ID]], tblProducts[Product ID], tblProducts[Unit Cost])</f>
        <v>12</v>
      </c>
      <c r="J567" t="str">
        <f>_xlfn.XLOOKUP(tblAnalysis[[#This Row],[Rep ID]], tblReps[Rep ID], tblReps[Sales Rep])</f>
        <v>John</v>
      </c>
      <c r="K567" t="str">
        <f>_xlfn.XLOOKUP(tblAnalysis[[#This Row],[Rep ID]], tblReps[Rep ID], tblReps[Region])</f>
        <v>New York</v>
      </c>
      <c r="L567" s="22">
        <f>tblAnalysis[[#This Row],[Quantity]]*tblAnalysis[[#This Row],[Unit Price]]</f>
        <v>225</v>
      </c>
      <c r="M567" s="22">
        <f>tblAnalysis[[#This Row],[Quantity]]*(tblAnalysis[[#This Row],[Unit Price]]-tblAnalysis[[#This Row],[Unit Cost]])</f>
        <v>117</v>
      </c>
    </row>
    <row r="568" spans="1:13">
      <c r="A568" t="s">
        <v>622</v>
      </c>
      <c r="B568" s="1">
        <v>46002</v>
      </c>
      <c r="C568" t="s">
        <v>49</v>
      </c>
      <c r="D568" t="s">
        <v>12</v>
      </c>
      <c r="E568">
        <v>3</v>
      </c>
      <c r="F568" t="str">
        <f>_xlfn.XLOOKUP(tblAnalysis[[#This Row],[Product ID]], tblProducts[Product ID], tblProducts[Product Name])</f>
        <v>Webcam</v>
      </c>
      <c r="G568" t="str">
        <f>_xlfn.XLOOKUP(tblAnalysis[[#This Row],[Product ID]], tblProducts[Product ID], tblProducts[Category])</f>
        <v>Electronics</v>
      </c>
      <c r="H568" s="22">
        <f>_xlfn.XLOOKUP(tblAnalysis[[#This Row],[Product ID]], tblProducts[Product ID], tblProducts[Unit Price])</f>
        <v>60</v>
      </c>
      <c r="I568" s="22">
        <f>_xlfn.XLOOKUP(tblAnalysis[[#This Row],[Product ID]], tblProducts[Product ID], tblProducts[Unit Cost])</f>
        <v>35</v>
      </c>
      <c r="J568" t="str">
        <f>_xlfn.XLOOKUP(tblAnalysis[[#This Row],[Rep ID]], tblReps[Rep ID], tblReps[Sales Rep])</f>
        <v>Emma</v>
      </c>
      <c r="K568" t="str">
        <f>_xlfn.XLOOKUP(tblAnalysis[[#This Row],[Rep ID]], tblReps[Rep ID], tblReps[Region])</f>
        <v>Miami</v>
      </c>
      <c r="L568" s="22">
        <f>tblAnalysis[[#This Row],[Quantity]]*tblAnalysis[[#This Row],[Unit Price]]</f>
        <v>180</v>
      </c>
      <c r="M568" s="22">
        <f>tblAnalysis[[#This Row],[Quantity]]*(tblAnalysis[[#This Row],[Unit Price]]-tblAnalysis[[#This Row],[Unit Cost]])</f>
        <v>75</v>
      </c>
    </row>
    <row r="569" spans="1:13">
      <c r="A569" t="s">
        <v>623</v>
      </c>
      <c r="B569" s="1">
        <v>46002</v>
      </c>
      <c r="C569" t="s">
        <v>49</v>
      </c>
      <c r="D569" t="s">
        <v>24</v>
      </c>
      <c r="E569">
        <v>1</v>
      </c>
      <c r="F569" t="str">
        <f>_xlfn.XLOOKUP(tblAnalysis[[#This Row],[Product ID]], tblProducts[Product ID], tblProducts[Product Name])</f>
        <v>Pants</v>
      </c>
      <c r="G569" t="str">
        <f>_xlfn.XLOOKUP(tblAnalysis[[#This Row],[Product ID]], tblProducts[Product ID], tblProducts[Category])</f>
        <v>Fashion</v>
      </c>
      <c r="H569" s="22">
        <f>_xlfn.XLOOKUP(tblAnalysis[[#This Row],[Product ID]], tblProducts[Product ID], tblProducts[Unit Price])</f>
        <v>40</v>
      </c>
      <c r="I569" s="22">
        <f>_xlfn.XLOOKUP(tblAnalysis[[#This Row],[Product ID]], tblProducts[Product ID], tblProducts[Unit Cost])</f>
        <v>18</v>
      </c>
      <c r="J569" t="str">
        <f>_xlfn.XLOOKUP(tblAnalysis[[#This Row],[Rep ID]], tblReps[Rep ID], tblReps[Sales Rep])</f>
        <v>Emma</v>
      </c>
      <c r="K569" t="str">
        <f>_xlfn.XLOOKUP(tblAnalysis[[#This Row],[Rep ID]], tblReps[Rep ID], tblReps[Region])</f>
        <v>Miami</v>
      </c>
      <c r="L569" s="22">
        <f>tblAnalysis[[#This Row],[Quantity]]*tblAnalysis[[#This Row],[Unit Price]]</f>
        <v>40</v>
      </c>
      <c r="M569" s="22">
        <f>tblAnalysis[[#This Row],[Quantity]]*(tblAnalysis[[#This Row],[Unit Price]]-tblAnalysis[[#This Row],[Unit Cost]])</f>
        <v>22</v>
      </c>
    </row>
    <row r="570" spans="1:13">
      <c r="A570" t="s">
        <v>624</v>
      </c>
      <c r="B570" s="1">
        <v>46003</v>
      </c>
      <c r="C570" t="s">
        <v>45</v>
      </c>
      <c r="D570" t="s">
        <v>19</v>
      </c>
      <c r="E570">
        <v>4</v>
      </c>
      <c r="F570" t="str">
        <f>_xlfn.XLOOKUP(tblAnalysis[[#This Row],[Product ID]], tblProducts[Product ID], tblProducts[Product Name])</f>
        <v>Fan</v>
      </c>
      <c r="G570" t="str">
        <f>_xlfn.XLOOKUP(tblAnalysis[[#This Row],[Product ID]], tblProducts[Product ID], tblProducts[Category])</f>
        <v>Home &amp; Living</v>
      </c>
      <c r="H570" s="22">
        <f>_xlfn.XLOOKUP(tblAnalysis[[#This Row],[Product ID]], tblProducts[Product ID], tblProducts[Unit Price])</f>
        <v>45</v>
      </c>
      <c r="I570" s="22">
        <f>_xlfn.XLOOKUP(tblAnalysis[[#This Row],[Product ID]], tblProducts[Product ID], tblProducts[Unit Cost])</f>
        <v>25</v>
      </c>
      <c r="J570" t="str">
        <f>_xlfn.XLOOKUP(tblAnalysis[[#This Row],[Rep ID]], tblReps[Rep ID], tblReps[Sales Rep])</f>
        <v>David</v>
      </c>
      <c r="K570" t="str">
        <f>_xlfn.XLOOKUP(tblAnalysis[[#This Row],[Rep ID]], tblReps[Rep ID], tblReps[Region])</f>
        <v>Houston</v>
      </c>
      <c r="L570" s="22">
        <f>tblAnalysis[[#This Row],[Quantity]]*tblAnalysis[[#This Row],[Unit Price]]</f>
        <v>180</v>
      </c>
      <c r="M570" s="22">
        <f>tblAnalysis[[#This Row],[Quantity]]*(tblAnalysis[[#This Row],[Unit Price]]-tblAnalysis[[#This Row],[Unit Cost]])</f>
        <v>80</v>
      </c>
    </row>
    <row r="571" spans="1:13">
      <c r="A571" t="s">
        <v>625</v>
      </c>
      <c r="B571" s="1">
        <v>46003</v>
      </c>
      <c r="C571" t="s">
        <v>45</v>
      </c>
      <c r="D571" t="s">
        <v>8</v>
      </c>
      <c r="E571">
        <v>6</v>
      </c>
      <c r="F571" t="str">
        <f>_xlfn.XLOOKUP(tblAnalysis[[#This Row],[Product ID]], tblProducts[Product ID], tblProducts[Product Name])</f>
        <v>Mouse</v>
      </c>
      <c r="G571" t="str">
        <f>_xlfn.XLOOKUP(tblAnalysis[[#This Row],[Product ID]], tblProducts[Product ID], tblProducts[Category])</f>
        <v>Electronics</v>
      </c>
      <c r="H571" s="22">
        <f>_xlfn.XLOOKUP(tblAnalysis[[#This Row],[Product ID]], tblProducts[Product ID], tblProducts[Unit Price])</f>
        <v>25</v>
      </c>
      <c r="I571" s="22">
        <f>_xlfn.XLOOKUP(tblAnalysis[[#This Row],[Product ID]], tblProducts[Product ID], tblProducts[Unit Cost])</f>
        <v>12</v>
      </c>
      <c r="J571" t="str">
        <f>_xlfn.XLOOKUP(tblAnalysis[[#This Row],[Rep ID]], tblReps[Rep ID], tblReps[Sales Rep])</f>
        <v>David</v>
      </c>
      <c r="K571" t="str">
        <f>_xlfn.XLOOKUP(tblAnalysis[[#This Row],[Rep ID]], tblReps[Rep ID], tblReps[Region])</f>
        <v>Houston</v>
      </c>
      <c r="L571" s="22">
        <f>tblAnalysis[[#This Row],[Quantity]]*tblAnalysis[[#This Row],[Unit Price]]</f>
        <v>150</v>
      </c>
      <c r="M571" s="22">
        <f>tblAnalysis[[#This Row],[Quantity]]*(tblAnalysis[[#This Row],[Unit Price]]-tblAnalysis[[#This Row],[Unit Cost]])</f>
        <v>78</v>
      </c>
    </row>
    <row r="572" spans="1:13">
      <c r="A572" t="s">
        <v>626</v>
      </c>
      <c r="B572" s="1">
        <v>46003</v>
      </c>
      <c r="C572" t="s">
        <v>45</v>
      </c>
      <c r="D572" t="s">
        <v>19</v>
      </c>
      <c r="E572">
        <v>8</v>
      </c>
      <c r="F572" t="str">
        <f>_xlfn.XLOOKUP(tblAnalysis[[#This Row],[Product ID]], tblProducts[Product ID], tblProducts[Product Name])</f>
        <v>Fan</v>
      </c>
      <c r="G572" t="str">
        <f>_xlfn.XLOOKUP(tblAnalysis[[#This Row],[Product ID]], tblProducts[Product ID], tblProducts[Category])</f>
        <v>Home &amp; Living</v>
      </c>
      <c r="H572" s="22">
        <f>_xlfn.XLOOKUP(tblAnalysis[[#This Row],[Product ID]], tblProducts[Product ID], tblProducts[Unit Price])</f>
        <v>45</v>
      </c>
      <c r="I572" s="22">
        <f>_xlfn.XLOOKUP(tblAnalysis[[#This Row],[Product ID]], tblProducts[Product ID], tblProducts[Unit Cost])</f>
        <v>25</v>
      </c>
      <c r="J572" t="str">
        <f>_xlfn.XLOOKUP(tblAnalysis[[#This Row],[Rep ID]], tblReps[Rep ID], tblReps[Sales Rep])</f>
        <v>David</v>
      </c>
      <c r="K572" t="str">
        <f>_xlfn.XLOOKUP(tblAnalysis[[#This Row],[Rep ID]], tblReps[Rep ID], tblReps[Region])</f>
        <v>Houston</v>
      </c>
      <c r="L572" s="22">
        <f>tblAnalysis[[#This Row],[Quantity]]*tblAnalysis[[#This Row],[Unit Price]]</f>
        <v>360</v>
      </c>
      <c r="M572" s="22">
        <f>tblAnalysis[[#This Row],[Quantity]]*(tblAnalysis[[#This Row],[Unit Price]]-tblAnalysis[[#This Row],[Unit Cost]])</f>
        <v>160</v>
      </c>
    </row>
    <row r="573" spans="1:13">
      <c r="A573" t="s">
        <v>627</v>
      </c>
      <c r="B573" s="1">
        <v>46003</v>
      </c>
      <c r="C573" t="s">
        <v>33</v>
      </c>
      <c r="D573" t="s">
        <v>24</v>
      </c>
      <c r="E573">
        <v>9</v>
      </c>
      <c r="F573" t="str">
        <f>_xlfn.XLOOKUP(tblAnalysis[[#This Row],[Product ID]], tblProducts[Product ID], tblProducts[Product Name])</f>
        <v>Pants</v>
      </c>
      <c r="G573" t="str">
        <f>_xlfn.XLOOKUP(tblAnalysis[[#This Row],[Product ID]], tblProducts[Product ID], tblProducts[Category])</f>
        <v>Fashion</v>
      </c>
      <c r="H573" s="22">
        <f>_xlfn.XLOOKUP(tblAnalysis[[#This Row],[Product ID]], tblProducts[Product ID], tblProducts[Unit Price])</f>
        <v>40</v>
      </c>
      <c r="I573" s="22">
        <f>_xlfn.XLOOKUP(tblAnalysis[[#This Row],[Product ID]], tblProducts[Product ID], tblProducts[Unit Cost])</f>
        <v>18</v>
      </c>
      <c r="J573" t="str">
        <f>_xlfn.XLOOKUP(tblAnalysis[[#This Row],[Rep ID]], tblReps[Rep ID], tblReps[Sales Rep])</f>
        <v>John</v>
      </c>
      <c r="K573" t="str">
        <f>_xlfn.XLOOKUP(tblAnalysis[[#This Row],[Rep ID]], tblReps[Rep ID], tblReps[Region])</f>
        <v>New York</v>
      </c>
      <c r="L573" s="22">
        <f>tblAnalysis[[#This Row],[Quantity]]*tblAnalysis[[#This Row],[Unit Price]]</f>
        <v>360</v>
      </c>
      <c r="M573" s="22">
        <f>tblAnalysis[[#This Row],[Quantity]]*(tblAnalysis[[#This Row],[Unit Price]]-tblAnalysis[[#This Row],[Unit Cost]])</f>
        <v>198</v>
      </c>
    </row>
    <row r="574" spans="1:13">
      <c r="A574" t="s">
        <v>628</v>
      </c>
      <c r="B574" s="1">
        <v>46003</v>
      </c>
      <c r="C574" t="s">
        <v>45</v>
      </c>
      <c r="D574" t="s">
        <v>5</v>
      </c>
      <c r="E574">
        <v>1</v>
      </c>
      <c r="F574" t="str">
        <f>_xlfn.XLOOKUP(tblAnalysis[[#This Row],[Product ID]], tblProducts[Product ID], tblProducts[Product Name])</f>
        <v>Headset</v>
      </c>
      <c r="G574" t="str">
        <f>_xlfn.XLOOKUP(tblAnalysis[[#This Row],[Product ID]], tblProducts[Product ID], tblProducts[Category])</f>
        <v>Electronics</v>
      </c>
      <c r="H574" s="22">
        <f>_xlfn.XLOOKUP(tblAnalysis[[#This Row],[Product ID]], tblProducts[Product ID], tblProducts[Unit Price])</f>
        <v>75</v>
      </c>
      <c r="I574" s="22">
        <f>_xlfn.XLOOKUP(tblAnalysis[[#This Row],[Product ID]], tblProducts[Product ID], tblProducts[Unit Cost])</f>
        <v>45</v>
      </c>
      <c r="J574" t="str">
        <f>_xlfn.XLOOKUP(tblAnalysis[[#This Row],[Rep ID]], tblReps[Rep ID], tblReps[Sales Rep])</f>
        <v>David</v>
      </c>
      <c r="K574" t="str">
        <f>_xlfn.XLOOKUP(tblAnalysis[[#This Row],[Rep ID]], tblReps[Rep ID], tblReps[Region])</f>
        <v>Houston</v>
      </c>
      <c r="L574" s="22">
        <f>tblAnalysis[[#This Row],[Quantity]]*tblAnalysis[[#This Row],[Unit Price]]</f>
        <v>75</v>
      </c>
      <c r="M574" s="22">
        <f>tblAnalysis[[#This Row],[Quantity]]*(tblAnalysis[[#This Row],[Unit Price]]-tblAnalysis[[#This Row],[Unit Cost]])</f>
        <v>30</v>
      </c>
    </row>
    <row r="575" spans="1:13">
      <c r="A575" t="s">
        <v>629</v>
      </c>
      <c r="B575" s="1">
        <v>46005</v>
      </c>
      <c r="C575" t="s">
        <v>33</v>
      </c>
      <c r="D575" t="s">
        <v>19</v>
      </c>
      <c r="E575">
        <v>1</v>
      </c>
      <c r="F575" t="str">
        <f>_xlfn.XLOOKUP(tblAnalysis[[#This Row],[Product ID]], tblProducts[Product ID], tblProducts[Product Name])</f>
        <v>Fan</v>
      </c>
      <c r="G575" t="str">
        <f>_xlfn.XLOOKUP(tblAnalysis[[#This Row],[Product ID]], tblProducts[Product ID], tblProducts[Category])</f>
        <v>Home &amp; Living</v>
      </c>
      <c r="H575" s="22">
        <f>_xlfn.XLOOKUP(tblAnalysis[[#This Row],[Product ID]], tblProducts[Product ID], tblProducts[Unit Price])</f>
        <v>45</v>
      </c>
      <c r="I575" s="22">
        <f>_xlfn.XLOOKUP(tblAnalysis[[#This Row],[Product ID]], tblProducts[Product ID], tblProducts[Unit Cost])</f>
        <v>25</v>
      </c>
      <c r="J575" t="str">
        <f>_xlfn.XLOOKUP(tblAnalysis[[#This Row],[Rep ID]], tblReps[Rep ID], tblReps[Sales Rep])</f>
        <v>John</v>
      </c>
      <c r="K575" t="str">
        <f>_xlfn.XLOOKUP(tblAnalysis[[#This Row],[Rep ID]], tblReps[Rep ID], tblReps[Region])</f>
        <v>New York</v>
      </c>
      <c r="L575" s="22">
        <f>tblAnalysis[[#This Row],[Quantity]]*tblAnalysis[[#This Row],[Unit Price]]</f>
        <v>45</v>
      </c>
      <c r="M575" s="22">
        <f>tblAnalysis[[#This Row],[Quantity]]*(tblAnalysis[[#This Row],[Unit Price]]-tblAnalysis[[#This Row],[Unit Cost]])</f>
        <v>20</v>
      </c>
    </row>
    <row r="576" spans="1:13">
      <c r="A576" t="s">
        <v>630</v>
      </c>
      <c r="B576" s="1">
        <v>46006</v>
      </c>
      <c r="C576" t="s">
        <v>45</v>
      </c>
      <c r="D576" t="s">
        <v>21</v>
      </c>
      <c r="E576">
        <v>9</v>
      </c>
      <c r="F576" t="str">
        <f>_xlfn.XLOOKUP(tblAnalysis[[#This Row],[Product ID]], tblProducts[Product ID], tblProducts[Product Name])</f>
        <v>T-Shirt</v>
      </c>
      <c r="G576" t="str">
        <f>_xlfn.XLOOKUP(tblAnalysis[[#This Row],[Product ID]], tblProducts[Product ID], tblProducts[Category])</f>
        <v>Fashion</v>
      </c>
      <c r="H576" s="22">
        <f>_xlfn.XLOOKUP(tblAnalysis[[#This Row],[Product ID]], tblProducts[Product ID], tblProducts[Unit Price])</f>
        <v>20</v>
      </c>
      <c r="I576" s="22">
        <f>_xlfn.XLOOKUP(tblAnalysis[[#This Row],[Product ID]], tblProducts[Product ID], tblProducts[Unit Cost])</f>
        <v>8</v>
      </c>
      <c r="J576" t="str">
        <f>_xlfn.XLOOKUP(tblAnalysis[[#This Row],[Rep ID]], tblReps[Rep ID], tblReps[Sales Rep])</f>
        <v>David</v>
      </c>
      <c r="K576" t="str">
        <f>_xlfn.XLOOKUP(tblAnalysis[[#This Row],[Rep ID]], tblReps[Rep ID], tblReps[Region])</f>
        <v>Houston</v>
      </c>
      <c r="L576" s="22">
        <f>tblAnalysis[[#This Row],[Quantity]]*tblAnalysis[[#This Row],[Unit Price]]</f>
        <v>180</v>
      </c>
      <c r="M576" s="22">
        <f>tblAnalysis[[#This Row],[Quantity]]*(tblAnalysis[[#This Row],[Unit Price]]-tblAnalysis[[#This Row],[Unit Cost]])</f>
        <v>108</v>
      </c>
    </row>
    <row r="577" spans="1:13">
      <c r="A577" t="s">
        <v>631</v>
      </c>
      <c r="B577" s="1">
        <v>46006</v>
      </c>
      <c r="C577" t="s">
        <v>33</v>
      </c>
      <c r="D577" t="s">
        <v>19</v>
      </c>
      <c r="E577">
        <v>3</v>
      </c>
      <c r="F577" t="str">
        <f>_xlfn.XLOOKUP(tblAnalysis[[#This Row],[Product ID]], tblProducts[Product ID], tblProducts[Product Name])</f>
        <v>Fan</v>
      </c>
      <c r="G577" t="str">
        <f>_xlfn.XLOOKUP(tblAnalysis[[#This Row],[Product ID]], tblProducts[Product ID], tblProducts[Category])</f>
        <v>Home &amp; Living</v>
      </c>
      <c r="H577" s="22">
        <f>_xlfn.XLOOKUP(tblAnalysis[[#This Row],[Product ID]], tblProducts[Product ID], tblProducts[Unit Price])</f>
        <v>45</v>
      </c>
      <c r="I577" s="22">
        <f>_xlfn.XLOOKUP(tblAnalysis[[#This Row],[Product ID]], tblProducts[Product ID], tblProducts[Unit Cost])</f>
        <v>25</v>
      </c>
      <c r="J577" t="str">
        <f>_xlfn.XLOOKUP(tblAnalysis[[#This Row],[Rep ID]], tblReps[Rep ID], tblReps[Sales Rep])</f>
        <v>John</v>
      </c>
      <c r="K577" t="str">
        <f>_xlfn.XLOOKUP(tblAnalysis[[#This Row],[Rep ID]], tblReps[Rep ID], tblReps[Region])</f>
        <v>New York</v>
      </c>
      <c r="L577" s="22">
        <f>tblAnalysis[[#This Row],[Quantity]]*tblAnalysis[[#This Row],[Unit Price]]</f>
        <v>135</v>
      </c>
      <c r="M577" s="22">
        <f>tblAnalysis[[#This Row],[Quantity]]*(tblAnalysis[[#This Row],[Unit Price]]-tblAnalysis[[#This Row],[Unit Cost]])</f>
        <v>60</v>
      </c>
    </row>
    <row r="578" spans="1:13">
      <c r="A578" t="s">
        <v>632</v>
      </c>
      <c r="B578" s="1">
        <v>46006</v>
      </c>
      <c r="C578" t="s">
        <v>49</v>
      </c>
      <c r="D578" t="s">
        <v>21</v>
      </c>
      <c r="E578">
        <v>9</v>
      </c>
      <c r="F578" t="str">
        <f>_xlfn.XLOOKUP(tblAnalysis[[#This Row],[Product ID]], tblProducts[Product ID], tblProducts[Product Name])</f>
        <v>T-Shirt</v>
      </c>
      <c r="G578" t="str">
        <f>_xlfn.XLOOKUP(tblAnalysis[[#This Row],[Product ID]], tblProducts[Product ID], tblProducts[Category])</f>
        <v>Fashion</v>
      </c>
      <c r="H578" s="22">
        <f>_xlfn.XLOOKUP(tblAnalysis[[#This Row],[Product ID]], tblProducts[Product ID], tblProducts[Unit Price])</f>
        <v>20</v>
      </c>
      <c r="I578" s="22">
        <f>_xlfn.XLOOKUP(tblAnalysis[[#This Row],[Product ID]], tblProducts[Product ID], tblProducts[Unit Cost])</f>
        <v>8</v>
      </c>
      <c r="J578" t="str">
        <f>_xlfn.XLOOKUP(tblAnalysis[[#This Row],[Rep ID]], tblReps[Rep ID], tblReps[Sales Rep])</f>
        <v>Emma</v>
      </c>
      <c r="K578" t="str">
        <f>_xlfn.XLOOKUP(tblAnalysis[[#This Row],[Rep ID]], tblReps[Rep ID], tblReps[Region])</f>
        <v>Miami</v>
      </c>
      <c r="L578" s="22">
        <f>tblAnalysis[[#This Row],[Quantity]]*tblAnalysis[[#This Row],[Unit Price]]</f>
        <v>180</v>
      </c>
      <c r="M578" s="22">
        <f>tblAnalysis[[#This Row],[Quantity]]*(tblAnalysis[[#This Row],[Unit Price]]-tblAnalysis[[#This Row],[Unit Cost]])</f>
        <v>108</v>
      </c>
    </row>
    <row r="579" spans="1:13">
      <c r="A579" t="s">
        <v>633</v>
      </c>
      <c r="B579" s="1">
        <v>46006</v>
      </c>
      <c r="C579" t="s">
        <v>37</v>
      </c>
      <c r="D579" t="s">
        <v>5</v>
      </c>
      <c r="E579">
        <v>6</v>
      </c>
      <c r="F579" t="str">
        <f>_xlfn.XLOOKUP(tblAnalysis[[#This Row],[Product ID]], tblProducts[Product ID], tblProducts[Product Name])</f>
        <v>Headset</v>
      </c>
      <c r="G579" t="str">
        <f>_xlfn.XLOOKUP(tblAnalysis[[#This Row],[Product ID]], tblProducts[Product ID], tblProducts[Category])</f>
        <v>Electronics</v>
      </c>
      <c r="H579" s="22">
        <f>_xlfn.XLOOKUP(tblAnalysis[[#This Row],[Product ID]], tblProducts[Product ID], tblProducts[Unit Price])</f>
        <v>75</v>
      </c>
      <c r="I579" s="22">
        <f>_xlfn.XLOOKUP(tblAnalysis[[#This Row],[Product ID]], tblProducts[Product ID], tblProducts[Unit Cost])</f>
        <v>45</v>
      </c>
      <c r="J579" t="str">
        <f>_xlfn.XLOOKUP(tblAnalysis[[#This Row],[Rep ID]], tblReps[Rep ID], tblReps[Sales Rep])</f>
        <v>Mike</v>
      </c>
      <c r="K579" t="str">
        <f>_xlfn.XLOOKUP(tblAnalysis[[#This Row],[Rep ID]], tblReps[Rep ID], tblReps[Region])</f>
        <v>Los Angeles</v>
      </c>
      <c r="L579" s="22">
        <f>tblAnalysis[[#This Row],[Quantity]]*tblAnalysis[[#This Row],[Unit Price]]</f>
        <v>450</v>
      </c>
      <c r="M579" s="22">
        <f>tblAnalysis[[#This Row],[Quantity]]*(tblAnalysis[[#This Row],[Unit Price]]-tblAnalysis[[#This Row],[Unit Cost]])</f>
        <v>180</v>
      </c>
    </row>
    <row r="580" spans="1:13">
      <c r="A580" t="s">
        <v>634</v>
      </c>
      <c r="B580" s="1">
        <v>46006</v>
      </c>
      <c r="C580" t="s">
        <v>49</v>
      </c>
      <c r="D580" t="s">
        <v>17</v>
      </c>
      <c r="E580">
        <v>3</v>
      </c>
      <c r="F580" t="str">
        <f>_xlfn.XLOOKUP(tblAnalysis[[#This Row],[Product ID]], tblProducts[Product ID], tblProducts[Product Name])</f>
        <v>Iron</v>
      </c>
      <c r="G580" t="str">
        <f>_xlfn.XLOOKUP(tblAnalysis[[#This Row],[Product ID]], tblProducts[Product ID], tblProducts[Category])</f>
        <v>Home &amp; Living</v>
      </c>
      <c r="H580" s="22">
        <f>_xlfn.XLOOKUP(tblAnalysis[[#This Row],[Product ID]], tblProducts[Product ID], tblProducts[Unit Price])</f>
        <v>35</v>
      </c>
      <c r="I580" s="22">
        <f>_xlfn.XLOOKUP(tblAnalysis[[#This Row],[Product ID]], tblProducts[Product ID], tblProducts[Unit Cost])</f>
        <v>20</v>
      </c>
      <c r="J580" t="str">
        <f>_xlfn.XLOOKUP(tblAnalysis[[#This Row],[Rep ID]], tblReps[Rep ID], tblReps[Sales Rep])</f>
        <v>Emma</v>
      </c>
      <c r="K580" t="str">
        <f>_xlfn.XLOOKUP(tblAnalysis[[#This Row],[Rep ID]], tblReps[Rep ID], tblReps[Region])</f>
        <v>Miami</v>
      </c>
      <c r="L580" s="22">
        <f>tblAnalysis[[#This Row],[Quantity]]*tblAnalysis[[#This Row],[Unit Price]]</f>
        <v>105</v>
      </c>
      <c r="M580" s="22">
        <f>tblAnalysis[[#This Row],[Quantity]]*(tblAnalysis[[#This Row],[Unit Price]]-tblAnalysis[[#This Row],[Unit Cost]])</f>
        <v>45</v>
      </c>
    </row>
    <row r="581" spans="1:13">
      <c r="A581" t="s">
        <v>635</v>
      </c>
      <c r="B581" s="1">
        <v>46007</v>
      </c>
      <c r="C581" t="s">
        <v>45</v>
      </c>
      <c r="D581" t="s">
        <v>14</v>
      </c>
      <c r="E581">
        <v>2</v>
      </c>
      <c r="F581" t="str">
        <f>_xlfn.XLOOKUP(tblAnalysis[[#This Row],[Product ID]], tblProducts[Product ID], tblProducts[Product Name])</f>
        <v>Blender</v>
      </c>
      <c r="G581" t="str">
        <f>_xlfn.XLOOKUP(tblAnalysis[[#This Row],[Product ID]], tblProducts[Product ID], tblProducts[Category])</f>
        <v>Home &amp; Living</v>
      </c>
      <c r="H581" s="22">
        <f>_xlfn.XLOOKUP(tblAnalysis[[#This Row],[Product ID]], tblProducts[Product ID], tblProducts[Unit Price])</f>
        <v>50</v>
      </c>
      <c r="I581" s="22">
        <f>_xlfn.XLOOKUP(tblAnalysis[[#This Row],[Product ID]], tblProducts[Product ID], tblProducts[Unit Cost])</f>
        <v>30</v>
      </c>
      <c r="J581" t="str">
        <f>_xlfn.XLOOKUP(tblAnalysis[[#This Row],[Rep ID]], tblReps[Rep ID], tblReps[Sales Rep])</f>
        <v>David</v>
      </c>
      <c r="K581" t="str">
        <f>_xlfn.XLOOKUP(tblAnalysis[[#This Row],[Rep ID]], tblReps[Rep ID], tblReps[Region])</f>
        <v>Houston</v>
      </c>
      <c r="L581" s="22">
        <f>tblAnalysis[[#This Row],[Quantity]]*tblAnalysis[[#This Row],[Unit Price]]</f>
        <v>100</v>
      </c>
      <c r="M581" s="22">
        <f>tblAnalysis[[#This Row],[Quantity]]*(tblAnalysis[[#This Row],[Unit Price]]-tblAnalysis[[#This Row],[Unit Cost]])</f>
        <v>40</v>
      </c>
    </row>
    <row r="582" spans="1:13">
      <c r="A582" t="s">
        <v>636</v>
      </c>
      <c r="B582" s="1">
        <v>46008</v>
      </c>
      <c r="C582" t="s">
        <v>33</v>
      </c>
      <c r="D582" t="s">
        <v>26</v>
      </c>
      <c r="E582">
        <v>9</v>
      </c>
      <c r="F582" t="str">
        <f>_xlfn.XLOOKUP(tblAnalysis[[#This Row],[Product ID]], tblProducts[Product ID], tblProducts[Product Name])</f>
        <v>Shoes</v>
      </c>
      <c r="G582" t="str">
        <f>_xlfn.XLOOKUP(tblAnalysis[[#This Row],[Product ID]], tblProducts[Product ID], tblProducts[Category])</f>
        <v>Fashion</v>
      </c>
      <c r="H582" s="22">
        <f>_xlfn.XLOOKUP(tblAnalysis[[#This Row],[Product ID]], tblProducts[Product ID], tblProducts[Unit Price])</f>
        <v>75</v>
      </c>
      <c r="I582" s="22">
        <f>_xlfn.XLOOKUP(tblAnalysis[[#This Row],[Product ID]], tblProducts[Product ID], tblProducts[Unit Cost])</f>
        <v>40</v>
      </c>
      <c r="J582" t="str">
        <f>_xlfn.XLOOKUP(tblAnalysis[[#This Row],[Rep ID]], tblReps[Rep ID], tblReps[Sales Rep])</f>
        <v>John</v>
      </c>
      <c r="K582" t="str">
        <f>_xlfn.XLOOKUP(tblAnalysis[[#This Row],[Rep ID]], tblReps[Rep ID], tblReps[Region])</f>
        <v>New York</v>
      </c>
      <c r="L582" s="22">
        <f>tblAnalysis[[#This Row],[Quantity]]*tblAnalysis[[#This Row],[Unit Price]]</f>
        <v>675</v>
      </c>
      <c r="M582" s="22">
        <f>tblAnalysis[[#This Row],[Quantity]]*(tblAnalysis[[#This Row],[Unit Price]]-tblAnalysis[[#This Row],[Unit Cost]])</f>
        <v>315</v>
      </c>
    </row>
    <row r="583" spans="1:13">
      <c r="A583" t="s">
        <v>637</v>
      </c>
      <c r="B583" s="1">
        <v>46009</v>
      </c>
      <c r="C583" t="s">
        <v>49</v>
      </c>
      <c r="D583" t="s">
        <v>5</v>
      </c>
      <c r="E583">
        <v>7</v>
      </c>
      <c r="F583" t="str">
        <f>_xlfn.XLOOKUP(tblAnalysis[[#This Row],[Product ID]], tblProducts[Product ID], tblProducts[Product Name])</f>
        <v>Headset</v>
      </c>
      <c r="G583" t="str">
        <f>_xlfn.XLOOKUP(tblAnalysis[[#This Row],[Product ID]], tblProducts[Product ID], tblProducts[Category])</f>
        <v>Electronics</v>
      </c>
      <c r="H583" s="22">
        <f>_xlfn.XLOOKUP(tblAnalysis[[#This Row],[Product ID]], tblProducts[Product ID], tblProducts[Unit Price])</f>
        <v>75</v>
      </c>
      <c r="I583" s="22">
        <f>_xlfn.XLOOKUP(tblAnalysis[[#This Row],[Product ID]], tblProducts[Product ID], tblProducts[Unit Cost])</f>
        <v>45</v>
      </c>
      <c r="J583" t="str">
        <f>_xlfn.XLOOKUP(tblAnalysis[[#This Row],[Rep ID]], tblReps[Rep ID], tblReps[Sales Rep])</f>
        <v>Emma</v>
      </c>
      <c r="K583" t="str">
        <f>_xlfn.XLOOKUP(tblAnalysis[[#This Row],[Rep ID]], tblReps[Rep ID], tblReps[Region])</f>
        <v>Miami</v>
      </c>
      <c r="L583" s="22">
        <f>tblAnalysis[[#This Row],[Quantity]]*tblAnalysis[[#This Row],[Unit Price]]</f>
        <v>525</v>
      </c>
      <c r="M583" s="22">
        <f>tblAnalysis[[#This Row],[Quantity]]*(tblAnalysis[[#This Row],[Unit Price]]-tblAnalysis[[#This Row],[Unit Cost]])</f>
        <v>210</v>
      </c>
    </row>
    <row r="584" spans="1:13">
      <c r="A584" t="s">
        <v>638</v>
      </c>
      <c r="B584" s="1">
        <v>46009</v>
      </c>
      <c r="C584" t="s">
        <v>37</v>
      </c>
      <c r="D584" t="s">
        <v>26</v>
      </c>
      <c r="E584">
        <v>5</v>
      </c>
      <c r="F584" t="str">
        <f>_xlfn.XLOOKUP(tblAnalysis[[#This Row],[Product ID]], tblProducts[Product ID], tblProducts[Product Name])</f>
        <v>Shoes</v>
      </c>
      <c r="G584" t="str">
        <f>_xlfn.XLOOKUP(tblAnalysis[[#This Row],[Product ID]], tblProducts[Product ID], tblProducts[Category])</f>
        <v>Fashion</v>
      </c>
      <c r="H584" s="22">
        <f>_xlfn.XLOOKUP(tblAnalysis[[#This Row],[Product ID]], tblProducts[Product ID], tblProducts[Unit Price])</f>
        <v>75</v>
      </c>
      <c r="I584" s="22">
        <f>_xlfn.XLOOKUP(tblAnalysis[[#This Row],[Product ID]], tblProducts[Product ID], tblProducts[Unit Cost])</f>
        <v>40</v>
      </c>
      <c r="J584" t="str">
        <f>_xlfn.XLOOKUP(tblAnalysis[[#This Row],[Rep ID]], tblReps[Rep ID], tblReps[Sales Rep])</f>
        <v>Mike</v>
      </c>
      <c r="K584" t="str">
        <f>_xlfn.XLOOKUP(tblAnalysis[[#This Row],[Rep ID]], tblReps[Rep ID], tblReps[Region])</f>
        <v>Los Angeles</v>
      </c>
      <c r="L584" s="22">
        <f>tblAnalysis[[#This Row],[Quantity]]*tblAnalysis[[#This Row],[Unit Price]]</f>
        <v>375</v>
      </c>
      <c r="M584" s="22">
        <f>tblAnalysis[[#This Row],[Quantity]]*(tblAnalysis[[#This Row],[Unit Price]]-tblAnalysis[[#This Row],[Unit Cost]])</f>
        <v>175</v>
      </c>
    </row>
    <row r="585" spans="1:13">
      <c r="A585" t="s">
        <v>639</v>
      </c>
      <c r="B585" s="1">
        <v>46011</v>
      </c>
      <c r="C585" t="s">
        <v>49</v>
      </c>
      <c r="D585" t="s">
        <v>8</v>
      </c>
      <c r="E585">
        <v>4</v>
      </c>
      <c r="F585" t="str">
        <f>_xlfn.XLOOKUP(tblAnalysis[[#This Row],[Product ID]], tblProducts[Product ID], tblProducts[Product Name])</f>
        <v>Mouse</v>
      </c>
      <c r="G585" t="str">
        <f>_xlfn.XLOOKUP(tblAnalysis[[#This Row],[Product ID]], tblProducts[Product ID], tblProducts[Category])</f>
        <v>Electronics</v>
      </c>
      <c r="H585" s="22">
        <f>_xlfn.XLOOKUP(tblAnalysis[[#This Row],[Product ID]], tblProducts[Product ID], tblProducts[Unit Price])</f>
        <v>25</v>
      </c>
      <c r="I585" s="22">
        <f>_xlfn.XLOOKUP(tblAnalysis[[#This Row],[Product ID]], tblProducts[Product ID], tblProducts[Unit Cost])</f>
        <v>12</v>
      </c>
      <c r="J585" t="str">
        <f>_xlfn.XLOOKUP(tblAnalysis[[#This Row],[Rep ID]], tblReps[Rep ID], tblReps[Sales Rep])</f>
        <v>Emma</v>
      </c>
      <c r="K585" t="str">
        <f>_xlfn.XLOOKUP(tblAnalysis[[#This Row],[Rep ID]], tblReps[Rep ID], tblReps[Region])</f>
        <v>Miami</v>
      </c>
      <c r="L585" s="22">
        <f>tblAnalysis[[#This Row],[Quantity]]*tblAnalysis[[#This Row],[Unit Price]]</f>
        <v>100</v>
      </c>
      <c r="M585" s="22">
        <f>tblAnalysis[[#This Row],[Quantity]]*(tblAnalysis[[#This Row],[Unit Price]]-tblAnalysis[[#This Row],[Unit Cost]])</f>
        <v>52</v>
      </c>
    </row>
    <row r="586" spans="1:13">
      <c r="A586" t="s">
        <v>640</v>
      </c>
      <c r="B586" s="1">
        <v>46012</v>
      </c>
      <c r="C586" t="s">
        <v>37</v>
      </c>
      <c r="D586" t="s">
        <v>24</v>
      </c>
      <c r="E586">
        <v>7</v>
      </c>
      <c r="F586" t="str">
        <f>_xlfn.XLOOKUP(tblAnalysis[[#This Row],[Product ID]], tblProducts[Product ID], tblProducts[Product Name])</f>
        <v>Pants</v>
      </c>
      <c r="G586" t="str">
        <f>_xlfn.XLOOKUP(tblAnalysis[[#This Row],[Product ID]], tblProducts[Product ID], tblProducts[Category])</f>
        <v>Fashion</v>
      </c>
      <c r="H586" s="22">
        <f>_xlfn.XLOOKUP(tblAnalysis[[#This Row],[Product ID]], tblProducts[Product ID], tblProducts[Unit Price])</f>
        <v>40</v>
      </c>
      <c r="I586" s="22">
        <f>_xlfn.XLOOKUP(tblAnalysis[[#This Row],[Product ID]], tblProducts[Product ID], tblProducts[Unit Cost])</f>
        <v>18</v>
      </c>
      <c r="J586" t="str">
        <f>_xlfn.XLOOKUP(tblAnalysis[[#This Row],[Rep ID]], tblReps[Rep ID], tblReps[Sales Rep])</f>
        <v>Mike</v>
      </c>
      <c r="K586" t="str">
        <f>_xlfn.XLOOKUP(tblAnalysis[[#This Row],[Rep ID]], tblReps[Rep ID], tblReps[Region])</f>
        <v>Los Angeles</v>
      </c>
      <c r="L586" s="22">
        <f>tblAnalysis[[#This Row],[Quantity]]*tblAnalysis[[#This Row],[Unit Price]]</f>
        <v>280</v>
      </c>
      <c r="M586" s="22">
        <f>tblAnalysis[[#This Row],[Quantity]]*(tblAnalysis[[#This Row],[Unit Price]]-tblAnalysis[[#This Row],[Unit Cost]])</f>
        <v>154</v>
      </c>
    </row>
    <row r="587" spans="1:13">
      <c r="A587" t="s">
        <v>641</v>
      </c>
      <c r="B587" s="1">
        <v>46012</v>
      </c>
      <c r="C587" t="s">
        <v>37</v>
      </c>
      <c r="D587" t="s">
        <v>21</v>
      </c>
      <c r="E587">
        <v>7</v>
      </c>
      <c r="F587" t="str">
        <f>_xlfn.XLOOKUP(tblAnalysis[[#This Row],[Product ID]], tblProducts[Product ID], tblProducts[Product Name])</f>
        <v>T-Shirt</v>
      </c>
      <c r="G587" t="str">
        <f>_xlfn.XLOOKUP(tblAnalysis[[#This Row],[Product ID]], tblProducts[Product ID], tblProducts[Category])</f>
        <v>Fashion</v>
      </c>
      <c r="H587" s="22">
        <f>_xlfn.XLOOKUP(tblAnalysis[[#This Row],[Product ID]], tblProducts[Product ID], tblProducts[Unit Price])</f>
        <v>20</v>
      </c>
      <c r="I587" s="22">
        <f>_xlfn.XLOOKUP(tblAnalysis[[#This Row],[Product ID]], tblProducts[Product ID], tblProducts[Unit Cost])</f>
        <v>8</v>
      </c>
      <c r="J587" t="str">
        <f>_xlfn.XLOOKUP(tblAnalysis[[#This Row],[Rep ID]], tblReps[Rep ID], tblReps[Sales Rep])</f>
        <v>Mike</v>
      </c>
      <c r="K587" t="str">
        <f>_xlfn.XLOOKUP(tblAnalysis[[#This Row],[Rep ID]], tblReps[Rep ID], tblReps[Region])</f>
        <v>Los Angeles</v>
      </c>
      <c r="L587" s="22">
        <f>tblAnalysis[[#This Row],[Quantity]]*tblAnalysis[[#This Row],[Unit Price]]</f>
        <v>140</v>
      </c>
      <c r="M587" s="22">
        <f>tblAnalysis[[#This Row],[Quantity]]*(tblAnalysis[[#This Row],[Unit Price]]-tblAnalysis[[#This Row],[Unit Cost]])</f>
        <v>84</v>
      </c>
    </row>
    <row r="588" spans="1:13">
      <c r="A588" t="s">
        <v>642</v>
      </c>
      <c r="B588" s="1">
        <v>46012</v>
      </c>
      <c r="C588" t="s">
        <v>49</v>
      </c>
      <c r="D588" t="s">
        <v>21</v>
      </c>
      <c r="E588">
        <v>7</v>
      </c>
      <c r="F588" t="str">
        <f>_xlfn.XLOOKUP(tblAnalysis[[#This Row],[Product ID]], tblProducts[Product ID], tblProducts[Product Name])</f>
        <v>T-Shirt</v>
      </c>
      <c r="G588" t="str">
        <f>_xlfn.XLOOKUP(tblAnalysis[[#This Row],[Product ID]], tblProducts[Product ID], tblProducts[Category])</f>
        <v>Fashion</v>
      </c>
      <c r="H588" s="22">
        <f>_xlfn.XLOOKUP(tblAnalysis[[#This Row],[Product ID]], tblProducts[Product ID], tblProducts[Unit Price])</f>
        <v>20</v>
      </c>
      <c r="I588" s="22">
        <f>_xlfn.XLOOKUP(tblAnalysis[[#This Row],[Product ID]], tblProducts[Product ID], tblProducts[Unit Cost])</f>
        <v>8</v>
      </c>
      <c r="J588" t="str">
        <f>_xlfn.XLOOKUP(tblAnalysis[[#This Row],[Rep ID]], tblReps[Rep ID], tblReps[Sales Rep])</f>
        <v>Emma</v>
      </c>
      <c r="K588" t="str">
        <f>_xlfn.XLOOKUP(tblAnalysis[[#This Row],[Rep ID]], tblReps[Rep ID], tblReps[Region])</f>
        <v>Miami</v>
      </c>
      <c r="L588" s="22">
        <f>tblAnalysis[[#This Row],[Quantity]]*tblAnalysis[[#This Row],[Unit Price]]</f>
        <v>140</v>
      </c>
      <c r="M588" s="22">
        <f>tblAnalysis[[#This Row],[Quantity]]*(tblAnalysis[[#This Row],[Unit Price]]-tblAnalysis[[#This Row],[Unit Cost]])</f>
        <v>84</v>
      </c>
    </row>
    <row r="589" spans="1:13">
      <c r="A589" t="s">
        <v>643</v>
      </c>
      <c r="B589" s="1">
        <v>46014</v>
      </c>
      <c r="C589" t="s">
        <v>49</v>
      </c>
      <c r="D589" t="s">
        <v>5</v>
      </c>
      <c r="E589">
        <v>3</v>
      </c>
      <c r="F589" t="str">
        <f>_xlfn.XLOOKUP(tblAnalysis[[#This Row],[Product ID]], tblProducts[Product ID], tblProducts[Product Name])</f>
        <v>Headset</v>
      </c>
      <c r="G589" t="str">
        <f>_xlfn.XLOOKUP(tblAnalysis[[#This Row],[Product ID]], tblProducts[Product ID], tblProducts[Category])</f>
        <v>Electronics</v>
      </c>
      <c r="H589" s="22">
        <f>_xlfn.XLOOKUP(tblAnalysis[[#This Row],[Product ID]], tblProducts[Product ID], tblProducts[Unit Price])</f>
        <v>75</v>
      </c>
      <c r="I589" s="22">
        <f>_xlfn.XLOOKUP(tblAnalysis[[#This Row],[Product ID]], tblProducts[Product ID], tblProducts[Unit Cost])</f>
        <v>45</v>
      </c>
      <c r="J589" t="str">
        <f>_xlfn.XLOOKUP(tblAnalysis[[#This Row],[Rep ID]], tblReps[Rep ID], tblReps[Sales Rep])</f>
        <v>Emma</v>
      </c>
      <c r="K589" t="str">
        <f>_xlfn.XLOOKUP(tblAnalysis[[#This Row],[Rep ID]], tblReps[Rep ID], tblReps[Region])</f>
        <v>Miami</v>
      </c>
      <c r="L589" s="22">
        <f>tblAnalysis[[#This Row],[Quantity]]*tblAnalysis[[#This Row],[Unit Price]]</f>
        <v>225</v>
      </c>
      <c r="M589" s="22">
        <f>tblAnalysis[[#This Row],[Quantity]]*(tblAnalysis[[#This Row],[Unit Price]]-tblAnalysis[[#This Row],[Unit Cost]])</f>
        <v>90</v>
      </c>
    </row>
    <row r="590" spans="1:13">
      <c r="A590" t="s">
        <v>644</v>
      </c>
      <c r="B590" s="1">
        <v>46014</v>
      </c>
      <c r="C590" t="s">
        <v>41</v>
      </c>
      <c r="D590" t="s">
        <v>14</v>
      </c>
      <c r="E590">
        <v>3</v>
      </c>
      <c r="F590" t="str">
        <f>_xlfn.XLOOKUP(tblAnalysis[[#This Row],[Product ID]], tblProducts[Product ID], tblProducts[Product Name])</f>
        <v>Blender</v>
      </c>
      <c r="G590" t="str">
        <f>_xlfn.XLOOKUP(tblAnalysis[[#This Row],[Product ID]], tblProducts[Product ID], tblProducts[Category])</f>
        <v>Home &amp; Living</v>
      </c>
      <c r="H590" s="22">
        <f>_xlfn.XLOOKUP(tblAnalysis[[#This Row],[Product ID]], tblProducts[Product ID], tblProducts[Unit Price])</f>
        <v>50</v>
      </c>
      <c r="I590" s="22">
        <f>_xlfn.XLOOKUP(tblAnalysis[[#This Row],[Product ID]], tblProducts[Product ID], tblProducts[Unit Cost])</f>
        <v>30</v>
      </c>
      <c r="J590" t="str">
        <f>_xlfn.XLOOKUP(tblAnalysis[[#This Row],[Rep ID]], tblReps[Rep ID], tblReps[Sales Rep])</f>
        <v>Sarah</v>
      </c>
      <c r="K590" t="str">
        <f>_xlfn.XLOOKUP(tblAnalysis[[#This Row],[Rep ID]], tblReps[Rep ID], tblReps[Region])</f>
        <v>Chicago</v>
      </c>
      <c r="L590" s="22">
        <f>tblAnalysis[[#This Row],[Quantity]]*tblAnalysis[[#This Row],[Unit Price]]</f>
        <v>150</v>
      </c>
      <c r="M590" s="22">
        <f>tblAnalysis[[#This Row],[Quantity]]*(tblAnalysis[[#This Row],[Unit Price]]-tblAnalysis[[#This Row],[Unit Cost]])</f>
        <v>60</v>
      </c>
    </row>
    <row r="591" spans="1:13">
      <c r="A591" t="s">
        <v>645</v>
      </c>
      <c r="B591" s="1">
        <v>46016</v>
      </c>
      <c r="C591" t="s">
        <v>49</v>
      </c>
      <c r="D591" t="s">
        <v>21</v>
      </c>
      <c r="E591">
        <v>8</v>
      </c>
      <c r="F591" t="str">
        <f>_xlfn.XLOOKUP(tblAnalysis[[#This Row],[Product ID]], tblProducts[Product ID], tblProducts[Product Name])</f>
        <v>T-Shirt</v>
      </c>
      <c r="G591" t="str">
        <f>_xlfn.XLOOKUP(tblAnalysis[[#This Row],[Product ID]], tblProducts[Product ID], tblProducts[Category])</f>
        <v>Fashion</v>
      </c>
      <c r="H591" s="22">
        <f>_xlfn.XLOOKUP(tblAnalysis[[#This Row],[Product ID]], tblProducts[Product ID], tblProducts[Unit Price])</f>
        <v>20</v>
      </c>
      <c r="I591" s="22">
        <f>_xlfn.XLOOKUP(tblAnalysis[[#This Row],[Product ID]], tblProducts[Product ID], tblProducts[Unit Cost])</f>
        <v>8</v>
      </c>
      <c r="J591" t="str">
        <f>_xlfn.XLOOKUP(tblAnalysis[[#This Row],[Rep ID]], tblReps[Rep ID], tblReps[Sales Rep])</f>
        <v>Emma</v>
      </c>
      <c r="K591" t="str">
        <f>_xlfn.XLOOKUP(tblAnalysis[[#This Row],[Rep ID]], tblReps[Rep ID], tblReps[Region])</f>
        <v>Miami</v>
      </c>
      <c r="L591" s="22">
        <f>tblAnalysis[[#This Row],[Quantity]]*tblAnalysis[[#This Row],[Unit Price]]</f>
        <v>160</v>
      </c>
      <c r="M591" s="22">
        <f>tblAnalysis[[#This Row],[Quantity]]*(tblAnalysis[[#This Row],[Unit Price]]-tblAnalysis[[#This Row],[Unit Cost]])</f>
        <v>96</v>
      </c>
    </row>
    <row r="592" spans="1:13">
      <c r="A592" t="s">
        <v>646</v>
      </c>
      <c r="B592" s="1">
        <v>46016</v>
      </c>
      <c r="C592" t="s">
        <v>45</v>
      </c>
      <c r="D592" t="s">
        <v>5</v>
      </c>
      <c r="E592">
        <v>2</v>
      </c>
      <c r="F592" t="str">
        <f>_xlfn.XLOOKUP(tblAnalysis[[#This Row],[Product ID]], tblProducts[Product ID], tblProducts[Product Name])</f>
        <v>Headset</v>
      </c>
      <c r="G592" t="str">
        <f>_xlfn.XLOOKUP(tblAnalysis[[#This Row],[Product ID]], tblProducts[Product ID], tblProducts[Category])</f>
        <v>Electronics</v>
      </c>
      <c r="H592" s="22">
        <f>_xlfn.XLOOKUP(tblAnalysis[[#This Row],[Product ID]], tblProducts[Product ID], tblProducts[Unit Price])</f>
        <v>75</v>
      </c>
      <c r="I592" s="22">
        <f>_xlfn.XLOOKUP(tblAnalysis[[#This Row],[Product ID]], tblProducts[Product ID], tblProducts[Unit Cost])</f>
        <v>45</v>
      </c>
      <c r="J592" t="str">
        <f>_xlfn.XLOOKUP(tblAnalysis[[#This Row],[Rep ID]], tblReps[Rep ID], tblReps[Sales Rep])</f>
        <v>David</v>
      </c>
      <c r="K592" t="str">
        <f>_xlfn.XLOOKUP(tblAnalysis[[#This Row],[Rep ID]], tblReps[Rep ID], tblReps[Region])</f>
        <v>Houston</v>
      </c>
      <c r="L592" s="22">
        <f>tblAnalysis[[#This Row],[Quantity]]*tblAnalysis[[#This Row],[Unit Price]]</f>
        <v>150</v>
      </c>
      <c r="M592" s="22">
        <f>tblAnalysis[[#This Row],[Quantity]]*(tblAnalysis[[#This Row],[Unit Price]]-tblAnalysis[[#This Row],[Unit Cost]])</f>
        <v>60</v>
      </c>
    </row>
    <row r="593" spans="1:13">
      <c r="A593" t="s">
        <v>647</v>
      </c>
      <c r="B593" s="1">
        <v>46017</v>
      </c>
      <c r="C593" t="s">
        <v>49</v>
      </c>
      <c r="D593" t="s">
        <v>8</v>
      </c>
      <c r="E593">
        <v>6</v>
      </c>
      <c r="F593" t="str">
        <f>_xlfn.XLOOKUP(tblAnalysis[[#This Row],[Product ID]], tblProducts[Product ID], tblProducts[Product Name])</f>
        <v>Mouse</v>
      </c>
      <c r="G593" t="str">
        <f>_xlfn.XLOOKUP(tblAnalysis[[#This Row],[Product ID]], tblProducts[Product ID], tblProducts[Category])</f>
        <v>Electronics</v>
      </c>
      <c r="H593" s="22">
        <f>_xlfn.XLOOKUP(tblAnalysis[[#This Row],[Product ID]], tblProducts[Product ID], tblProducts[Unit Price])</f>
        <v>25</v>
      </c>
      <c r="I593" s="22">
        <f>_xlfn.XLOOKUP(tblAnalysis[[#This Row],[Product ID]], tblProducts[Product ID], tblProducts[Unit Cost])</f>
        <v>12</v>
      </c>
      <c r="J593" t="str">
        <f>_xlfn.XLOOKUP(tblAnalysis[[#This Row],[Rep ID]], tblReps[Rep ID], tblReps[Sales Rep])</f>
        <v>Emma</v>
      </c>
      <c r="K593" t="str">
        <f>_xlfn.XLOOKUP(tblAnalysis[[#This Row],[Rep ID]], tblReps[Rep ID], tblReps[Region])</f>
        <v>Miami</v>
      </c>
      <c r="L593" s="22">
        <f>tblAnalysis[[#This Row],[Quantity]]*tblAnalysis[[#This Row],[Unit Price]]</f>
        <v>150</v>
      </c>
      <c r="M593" s="22">
        <f>tblAnalysis[[#This Row],[Quantity]]*(tblAnalysis[[#This Row],[Unit Price]]-tblAnalysis[[#This Row],[Unit Cost]])</f>
        <v>78</v>
      </c>
    </row>
    <row r="594" spans="1:13">
      <c r="A594" t="s">
        <v>648</v>
      </c>
      <c r="B594" s="1">
        <v>46017</v>
      </c>
      <c r="C594" t="s">
        <v>33</v>
      </c>
      <c r="D594" t="s">
        <v>21</v>
      </c>
      <c r="E594">
        <v>6</v>
      </c>
      <c r="F594" t="str">
        <f>_xlfn.XLOOKUP(tblAnalysis[[#This Row],[Product ID]], tblProducts[Product ID], tblProducts[Product Name])</f>
        <v>T-Shirt</v>
      </c>
      <c r="G594" t="str">
        <f>_xlfn.XLOOKUP(tblAnalysis[[#This Row],[Product ID]], tblProducts[Product ID], tblProducts[Category])</f>
        <v>Fashion</v>
      </c>
      <c r="H594" s="22">
        <f>_xlfn.XLOOKUP(tblAnalysis[[#This Row],[Product ID]], tblProducts[Product ID], tblProducts[Unit Price])</f>
        <v>20</v>
      </c>
      <c r="I594" s="22">
        <f>_xlfn.XLOOKUP(tblAnalysis[[#This Row],[Product ID]], tblProducts[Product ID], tblProducts[Unit Cost])</f>
        <v>8</v>
      </c>
      <c r="J594" t="str">
        <f>_xlfn.XLOOKUP(tblAnalysis[[#This Row],[Rep ID]], tblReps[Rep ID], tblReps[Sales Rep])</f>
        <v>John</v>
      </c>
      <c r="K594" t="str">
        <f>_xlfn.XLOOKUP(tblAnalysis[[#This Row],[Rep ID]], tblReps[Rep ID], tblReps[Region])</f>
        <v>New York</v>
      </c>
      <c r="L594" s="22">
        <f>tblAnalysis[[#This Row],[Quantity]]*tblAnalysis[[#This Row],[Unit Price]]</f>
        <v>120</v>
      </c>
      <c r="M594" s="22">
        <f>tblAnalysis[[#This Row],[Quantity]]*(tblAnalysis[[#This Row],[Unit Price]]-tblAnalysis[[#This Row],[Unit Cost]])</f>
        <v>72</v>
      </c>
    </row>
    <row r="595" spans="1:13">
      <c r="A595" t="s">
        <v>649</v>
      </c>
      <c r="B595" s="1">
        <v>46017</v>
      </c>
      <c r="C595" t="s">
        <v>33</v>
      </c>
      <c r="D595" t="s">
        <v>10</v>
      </c>
      <c r="E595">
        <v>9</v>
      </c>
      <c r="F595" t="str">
        <f>_xlfn.XLOOKUP(tblAnalysis[[#This Row],[Product ID]], tblProducts[Product ID], tblProducts[Product Name])</f>
        <v>Keyboard</v>
      </c>
      <c r="G595" t="str">
        <f>_xlfn.XLOOKUP(tblAnalysis[[#This Row],[Product ID]], tblProducts[Product ID], tblProducts[Category])</f>
        <v>Electronics</v>
      </c>
      <c r="H595" s="22">
        <f>_xlfn.XLOOKUP(tblAnalysis[[#This Row],[Product ID]], tblProducts[Product ID], tblProducts[Unit Price])</f>
        <v>40</v>
      </c>
      <c r="I595" s="22">
        <f>_xlfn.XLOOKUP(tblAnalysis[[#This Row],[Product ID]], tblProducts[Product ID], tblProducts[Unit Cost])</f>
        <v>22</v>
      </c>
      <c r="J595" t="str">
        <f>_xlfn.XLOOKUP(tblAnalysis[[#This Row],[Rep ID]], tblReps[Rep ID], tblReps[Sales Rep])</f>
        <v>John</v>
      </c>
      <c r="K595" t="str">
        <f>_xlfn.XLOOKUP(tblAnalysis[[#This Row],[Rep ID]], tblReps[Rep ID], tblReps[Region])</f>
        <v>New York</v>
      </c>
      <c r="L595" s="22">
        <f>tblAnalysis[[#This Row],[Quantity]]*tblAnalysis[[#This Row],[Unit Price]]</f>
        <v>360</v>
      </c>
      <c r="M595" s="22">
        <f>tblAnalysis[[#This Row],[Quantity]]*(tblAnalysis[[#This Row],[Unit Price]]-tblAnalysis[[#This Row],[Unit Cost]])</f>
        <v>162</v>
      </c>
    </row>
    <row r="596" spans="1:13">
      <c r="A596" t="s">
        <v>650</v>
      </c>
      <c r="B596" s="1">
        <v>46017</v>
      </c>
      <c r="C596" t="s">
        <v>49</v>
      </c>
      <c r="D596" t="s">
        <v>17</v>
      </c>
      <c r="E596">
        <v>10</v>
      </c>
      <c r="F596" t="str">
        <f>_xlfn.XLOOKUP(tblAnalysis[[#This Row],[Product ID]], tblProducts[Product ID], tblProducts[Product Name])</f>
        <v>Iron</v>
      </c>
      <c r="G596" t="str">
        <f>_xlfn.XLOOKUP(tblAnalysis[[#This Row],[Product ID]], tblProducts[Product ID], tblProducts[Category])</f>
        <v>Home &amp; Living</v>
      </c>
      <c r="H596" s="22">
        <f>_xlfn.XLOOKUP(tblAnalysis[[#This Row],[Product ID]], tblProducts[Product ID], tblProducts[Unit Price])</f>
        <v>35</v>
      </c>
      <c r="I596" s="22">
        <f>_xlfn.XLOOKUP(tblAnalysis[[#This Row],[Product ID]], tblProducts[Product ID], tblProducts[Unit Cost])</f>
        <v>20</v>
      </c>
      <c r="J596" t="str">
        <f>_xlfn.XLOOKUP(tblAnalysis[[#This Row],[Rep ID]], tblReps[Rep ID], tblReps[Sales Rep])</f>
        <v>Emma</v>
      </c>
      <c r="K596" t="str">
        <f>_xlfn.XLOOKUP(tblAnalysis[[#This Row],[Rep ID]], tblReps[Rep ID], tblReps[Region])</f>
        <v>Miami</v>
      </c>
      <c r="L596" s="22">
        <f>tblAnalysis[[#This Row],[Quantity]]*tblAnalysis[[#This Row],[Unit Price]]</f>
        <v>350</v>
      </c>
      <c r="M596" s="22">
        <f>tblAnalysis[[#This Row],[Quantity]]*(tblAnalysis[[#This Row],[Unit Price]]-tblAnalysis[[#This Row],[Unit Cost]])</f>
        <v>150</v>
      </c>
    </row>
    <row r="597" spans="1:13">
      <c r="A597" t="s">
        <v>651</v>
      </c>
      <c r="B597" s="1">
        <v>46017</v>
      </c>
      <c r="C597" t="s">
        <v>33</v>
      </c>
      <c r="D597" t="s">
        <v>5</v>
      </c>
      <c r="E597">
        <v>9</v>
      </c>
      <c r="F597" t="str">
        <f>_xlfn.XLOOKUP(tblAnalysis[[#This Row],[Product ID]], tblProducts[Product ID], tblProducts[Product Name])</f>
        <v>Headset</v>
      </c>
      <c r="G597" t="str">
        <f>_xlfn.XLOOKUP(tblAnalysis[[#This Row],[Product ID]], tblProducts[Product ID], tblProducts[Category])</f>
        <v>Electronics</v>
      </c>
      <c r="H597" s="22">
        <f>_xlfn.XLOOKUP(tblAnalysis[[#This Row],[Product ID]], tblProducts[Product ID], tblProducts[Unit Price])</f>
        <v>75</v>
      </c>
      <c r="I597" s="22">
        <f>_xlfn.XLOOKUP(tblAnalysis[[#This Row],[Product ID]], tblProducts[Product ID], tblProducts[Unit Cost])</f>
        <v>45</v>
      </c>
      <c r="J597" t="str">
        <f>_xlfn.XLOOKUP(tblAnalysis[[#This Row],[Rep ID]], tblReps[Rep ID], tblReps[Sales Rep])</f>
        <v>John</v>
      </c>
      <c r="K597" t="str">
        <f>_xlfn.XLOOKUP(tblAnalysis[[#This Row],[Rep ID]], tblReps[Rep ID], tblReps[Region])</f>
        <v>New York</v>
      </c>
      <c r="L597" s="22">
        <f>tblAnalysis[[#This Row],[Quantity]]*tblAnalysis[[#This Row],[Unit Price]]</f>
        <v>675</v>
      </c>
      <c r="M597" s="22">
        <f>tblAnalysis[[#This Row],[Quantity]]*(tblAnalysis[[#This Row],[Unit Price]]-tblAnalysis[[#This Row],[Unit Cost]])</f>
        <v>270</v>
      </c>
    </row>
    <row r="598" spans="1:13">
      <c r="A598" t="s">
        <v>652</v>
      </c>
      <c r="B598" s="1">
        <v>46018</v>
      </c>
      <c r="C598" t="s">
        <v>49</v>
      </c>
      <c r="D598" t="s">
        <v>5</v>
      </c>
      <c r="E598">
        <v>5</v>
      </c>
      <c r="F598" t="str">
        <f>_xlfn.XLOOKUP(tblAnalysis[[#This Row],[Product ID]], tblProducts[Product ID], tblProducts[Product Name])</f>
        <v>Headset</v>
      </c>
      <c r="G598" t="str">
        <f>_xlfn.XLOOKUP(tblAnalysis[[#This Row],[Product ID]], tblProducts[Product ID], tblProducts[Category])</f>
        <v>Electronics</v>
      </c>
      <c r="H598" s="22">
        <f>_xlfn.XLOOKUP(tblAnalysis[[#This Row],[Product ID]], tblProducts[Product ID], tblProducts[Unit Price])</f>
        <v>75</v>
      </c>
      <c r="I598" s="22">
        <f>_xlfn.XLOOKUP(tblAnalysis[[#This Row],[Product ID]], tblProducts[Product ID], tblProducts[Unit Cost])</f>
        <v>45</v>
      </c>
      <c r="J598" t="str">
        <f>_xlfn.XLOOKUP(tblAnalysis[[#This Row],[Rep ID]], tblReps[Rep ID], tblReps[Sales Rep])</f>
        <v>Emma</v>
      </c>
      <c r="K598" t="str">
        <f>_xlfn.XLOOKUP(tblAnalysis[[#This Row],[Rep ID]], tblReps[Rep ID], tblReps[Region])</f>
        <v>Miami</v>
      </c>
      <c r="L598" s="22">
        <f>tblAnalysis[[#This Row],[Quantity]]*tblAnalysis[[#This Row],[Unit Price]]</f>
        <v>375</v>
      </c>
      <c r="M598" s="22">
        <f>tblAnalysis[[#This Row],[Quantity]]*(tblAnalysis[[#This Row],[Unit Price]]-tblAnalysis[[#This Row],[Unit Cost]])</f>
        <v>150</v>
      </c>
    </row>
    <row r="599" spans="1:13">
      <c r="A599" t="s">
        <v>653</v>
      </c>
      <c r="B599" s="1">
        <v>46021</v>
      </c>
      <c r="C599" t="s">
        <v>37</v>
      </c>
      <c r="D599" t="s">
        <v>24</v>
      </c>
      <c r="E599">
        <v>3</v>
      </c>
      <c r="F599" t="str">
        <f>_xlfn.XLOOKUP(tblAnalysis[[#This Row],[Product ID]], tblProducts[Product ID], tblProducts[Product Name])</f>
        <v>Pants</v>
      </c>
      <c r="G599" t="str">
        <f>_xlfn.XLOOKUP(tblAnalysis[[#This Row],[Product ID]], tblProducts[Product ID], tblProducts[Category])</f>
        <v>Fashion</v>
      </c>
      <c r="H599" s="22">
        <f>_xlfn.XLOOKUP(tblAnalysis[[#This Row],[Product ID]], tblProducts[Product ID], tblProducts[Unit Price])</f>
        <v>40</v>
      </c>
      <c r="I599" s="22">
        <f>_xlfn.XLOOKUP(tblAnalysis[[#This Row],[Product ID]], tblProducts[Product ID], tblProducts[Unit Cost])</f>
        <v>18</v>
      </c>
      <c r="J599" t="str">
        <f>_xlfn.XLOOKUP(tblAnalysis[[#This Row],[Rep ID]], tblReps[Rep ID], tblReps[Sales Rep])</f>
        <v>Mike</v>
      </c>
      <c r="K599" t="str">
        <f>_xlfn.XLOOKUP(tblAnalysis[[#This Row],[Rep ID]], tblReps[Rep ID], tblReps[Region])</f>
        <v>Los Angeles</v>
      </c>
      <c r="L599" s="22">
        <f>tblAnalysis[[#This Row],[Quantity]]*tblAnalysis[[#This Row],[Unit Price]]</f>
        <v>120</v>
      </c>
      <c r="M599" s="22">
        <f>tblAnalysis[[#This Row],[Quantity]]*(tblAnalysis[[#This Row],[Unit Price]]-tblAnalysis[[#This Row],[Unit Cost]])</f>
        <v>66</v>
      </c>
    </row>
    <row r="600" spans="1:13">
      <c r="A600" t="s">
        <v>654</v>
      </c>
      <c r="B600" s="1">
        <v>46022</v>
      </c>
      <c r="C600" t="s">
        <v>49</v>
      </c>
      <c r="D600" t="s">
        <v>19</v>
      </c>
      <c r="E600">
        <v>2</v>
      </c>
      <c r="F600" t="str">
        <f>_xlfn.XLOOKUP(tblAnalysis[[#This Row],[Product ID]], tblProducts[Product ID], tblProducts[Product Name])</f>
        <v>Fan</v>
      </c>
      <c r="G600" t="str">
        <f>_xlfn.XLOOKUP(tblAnalysis[[#This Row],[Product ID]], tblProducts[Product ID], tblProducts[Category])</f>
        <v>Home &amp; Living</v>
      </c>
      <c r="H600" s="22">
        <f>_xlfn.XLOOKUP(tblAnalysis[[#This Row],[Product ID]], tblProducts[Product ID], tblProducts[Unit Price])</f>
        <v>45</v>
      </c>
      <c r="I600" s="22">
        <f>_xlfn.XLOOKUP(tblAnalysis[[#This Row],[Product ID]], tblProducts[Product ID], tblProducts[Unit Cost])</f>
        <v>25</v>
      </c>
      <c r="J600" t="str">
        <f>_xlfn.XLOOKUP(tblAnalysis[[#This Row],[Rep ID]], tblReps[Rep ID], tblReps[Sales Rep])</f>
        <v>Emma</v>
      </c>
      <c r="K600" t="str">
        <f>_xlfn.XLOOKUP(tblAnalysis[[#This Row],[Rep ID]], tblReps[Rep ID], tblReps[Region])</f>
        <v>Miami</v>
      </c>
      <c r="L600" s="22">
        <f>tblAnalysis[[#This Row],[Quantity]]*tblAnalysis[[#This Row],[Unit Price]]</f>
        <v>90</v>
      </c>
      <c r="M600" s="22">
        <f>tblAnalysis[[#This Row],[Quantity]]*(tblAnalysis[[#This Row],[Unit Price]]-tblAnalysis[[#This Row],[Unit Cost]])</f>
        <v>40</v>
      </c>
    </row>
    <row r="601" spans="1:13">
      <c r="A601" t="s">
        <v>655</v>
      </c>
      <c r="B601" s="1">
        <v>46022</v>
      </c>
      <c r="C601" t="s">
        <v>33</v>
      </c>
      <c r="D601" t="s">
        <v>10</v>
      </c>
      <c r="E601">
        <v>10</v>
      </c>
      <c r="F601" t="str">
        <f>_xlfn.XLOOKUP(tblAnalysis[[#This Row],[Product ID]], tblProducts[Product ID], tblProducts[Product Name])</f>
        <v>Keyboard</v>
      </c>
      <c r="G601" t="str">
        <f>_xlfn.XLOOKUP(tblAnalysis[[#This Row],[Product ID]], tblProducts[Product ID], tblProducts[Category])</f>
        <v>Electronics</v>
      </c>
      <c r="H601" s="22">
        <f>_xlfn.XLOOKUP(tblAnalysis[[#This Row],[Product ID]], tblProducts[Product ID], tblProducts[Unit Price])</f>
        <v>40</v>
      </c>
      <c r="I601" s="22">
        <f>_xlfn.XLOOKUP(tblAnalysis[[#This Row],[Product ID]], tblProducts[Product ID], tblProducts[Unit Cost])</f>
        <v>22</v>
      </c>
      <c r="J601" t="str">
        <f>_xlfn.XLOOKUP(tblAnalysis[[#This Row],[Rep ID]], tblReps[Rep ID], tblReps[Sales Rep])</f>
        <v>John</v>
      </c>
      <c r="K601" t="str">
        <f>_xlfn.XLOOKUP(tblAnalysis[[#This Row],[Rep ID]], tblReps[Rep ID], tblReps[Region])</f>
        <v>New York</v>
      </c>
      <c r="L601" s="22">
        <f>tblAnalysis[[#This Row],[Quantity]]*tblAnalysis[[#This Row],[Unit Price]]</f>
        <v>400</v>
      </c>
      <c r="M601" s="22">
        <f>tblAnalysis[[#This Row],[Quantity]]*(tblAnalysis[[#This Row],[Unit Price]]-tblAnalysis[[#This Row],[Unit Cost]])</f>
        <v>180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E976-BC3A-46AF-A2AC-A5361BC3CABC}">
  <dimension ref="A4:L76"/>
  <sheetViews>
    <sheetView topLeftCell="A58" zoomScaleNormal="100" workbookViewId="0">
      <selection activeCell="A67" sqref="A67:C67"/>
    </sheetView>
  </sheetViews>
  <sheetFormatPr defaultRowHeight="15"/>
  <cols>
    <col min="1" max="1" width="11.28515625" bestFit="1" customWidth="1"/>
    <col min="2" max="2" width="18.7109375" style="17" bestFit="1" customWidth="1"/>
    <col min="3" max="3" width="15.85546875" bestFit="1" customWidth="1"/>
    <col min="4" max="4" width="14" bestFit="1" customWidth="1"/>
    <col min="5" max="5" width="11.28515625" bestFit="1" customWidth="1"/>
    <col min="6" max="6" width="17.28515625" style="2" bestFit="1" customWidth="1"/>
    <col min="7" max="7" width="18.28515625" bestFit="1" customWidth="1"/>
    <col min="8" max="8" width="22.28515625" style="2" bestFit="1" customWidth="1"/>
    <col min="9" max="9" width="23.28515625" bestFit="1" customWidth="1"/>
    <col min="10" max="10" width="24.85546875" style="2" bestFit="1" customWidth="1"/>
    <col min="11" max="11" width="18.28515625" bestFit="1" customWidth="1"/>
    <col min="12" max="12" width="22.28515625" style="2" bestFit="1" customWidth="1"/>
    <col min="13" max="13" width="23.28515625" bestFit="1" customWidth="1"/>
  </cols>
  <sheetData>
    <row r="4" spans="1:3">
      <c r="A4" s="25" t="s">
        <v>733</v>
      </c>
      <c r="B4" s="25"/>
      <c r="C4" s="25"/>
    </row>
    <row r="5" spans="1:3">
      <c r="A5" s="14" t="s">
        <v>29</v>
      </c>
      <c r="B5" s="17" t="s">
        <v>718</v>
      </c>
      <c r="C5" t="s">
        <v>738</v>
      </c>
    </row>
    <row r="6" spans="1:3">
      <c r="A6" s="15" t="s">
        <v>50</v>
      </c>
      <c r="B6" s="22">
        <v>32490</v>
      </c>
      <c r="C6" s="16">
        <v>0.21431398416886543</v>
      </c>
    </row>
    <row r="7" spans="1:3">
      <c r="A7" s="15" t="s">
        <v>38</v>
      </c>
      <c r="B7" s="22">
        <v>31060</v>
      </c>
      <c r="C7" s="16">
        <v>0.20488126649076518</v>
      </c>
    </row>
    <row r="8" spans="1:3">
      <c r="A8" s="15" t="s">
        <v>42</v>
      </c>
      <c r="B8" s="22">
        <v>30250</v>
      </c>
      <c r="C8" s="16">
        <v>0.19953825857519789</v>
      </c>
    </row>
    <row r="9" spans="1:3">
      <c r="A9" s="15" t="s">
        <v>34</v>
      </c>
      <c r="B9" s="22">
        <v>30025</v>
      </c>
      <c r="C9" s="16">
        <v>0.19805408970976254</v>
      </c>
    </row>
    <row r="10" spans="1:3">
      <c r="A10" s="15" t="s">
        <v>46</v>
      </c>
      <c r="B10" s="22">
        <v>27775</v>
      </c>
      <c r="C10" s="16">
        <v>0.18321240105540898</v>
      </c>
    </row>
    <row r="11" spans="1:3">
      <c r="A11" s="15" t="s">
        <v>717</v>
      </c>
      <c r="B11" s="22">
        <v>151600</v>
      </c>
      <c r="C11" s="16">
        <v>1</v>
      </c>
    </row>
    <row r="20" spans="1:2">
      <c r="A20" s="25" t="s">
        <v>734</v>
      </c>
      <c r="B20" s="25"/>
    </row>
    <row r="21" spans="1:2">
      <c r="A21" s="14" t="s">
        <v>2</v>
      </c>
      <c r="B21" s="17" t="s">
        <v>719</v>
      </c>
    </row>
    <row r="22" spans="1:2">
      <c r="A22" s="15" t="s">
        <v>7</v>
      </c>
      <c r="B22" s="22">
        <v>28625</v>
      </c>
    </row>
    <row r="23" spans="1:2">
      <c r="A23" s="15" t="s">
        <v>23</v>
      </c>
      <c r="B23" s="22">
        <v>23041</v>
      </c>
    </row>
    <row r="24" spans="1:2">
      <c r="A24" s="15" t="s">
        <v>16</v>
      </c>
      <c r="B24" s="22">
        <v>16870</v>
      </c>
    </row>
    <row r="25" spans="1:2">
      <c r="A25" s="15" t="s">
        <v>717</v>
      </c>
      <c r="B25" s="22">
        <v>68536</v>
      </c>
    </row>
    <row r="35" spans="1:3">
      <c r="A35" s="25" t="s">
        <v>736</v>
      </c>
      <c r="B35" s="25"/>
      <c r="C35" s="25"/>
    </row>
    <row r="36" spans="1:3">
      <c r="A36" s="14" t="s">
        <v>30</v>
      </c>
      <c r="B36" s="2" t="s">
        <v>718</v>
      </c>
      <c r="C36" t="s">
        <v>738</v>
      </c>
    </row>
    <row r="37" spans="1:3">
      <c r="A37" s="15" t="s">
        <v>51</v>
      </c>
      <c r="B37" s="22">
        <v>32490</v>
      </c>
      <c r="C37" s="16">
        <v>0.21431398416886543</v>
      </c>
    </row>
    <row r="38" spans="1:3">
      <c r="A38" s="15" t="s">
        <v>39</v>
      </c>
      <c r="B38" s="22">
        <v>31060</v>
      </c>
      <c r="C38" s="16">
        <v>0.20488126649076518</v>
      </c>
    </row>
    <row r="39" spans="1:3">
      <c r="A39" s="15" t="s">
        <v>43</v>
      </c>
      <c r="B39" s="22">
        <v>30250</v>
      </c>
      <c r="C39" s="16">
        <v>0.19953825857519789</v>
      </c>
    </row>
    <row r="40" spans="1:3">
      <c r="A40" s="15" t="s">
        <v>35</v>
      </c>
      <c r="B40" s="22">
        <v>30025</v>
      </c>
      <c r="C40" s="16">
        <v>0.19805408970976254</v>
      </c>
    </row>
    <row r="41" spans="1:3">
      <c r="A41" s="15" t="s">
        <v>47</v>
      </c>
      <c r="B41" s="22">
        <v>27775</v>
      </c>
      <c r="C41" s="16">
        <v>0.18321240105540898</v>
      </c>
    </row>
    <row r="42" spans="1:3">
      <c r="A42" s="15" t="s">
        <v>717</v>
      </c>
      <c r="B42" s="22">
        <v>151600</v>
      </c>
      <c r="C42" s="16">
        <v>1</v>
      </c>
    </row>
    <row r="50" spans="1:2">
      <c r="A50" s="25" t="s">
        <v>735</v>
      </c>
      <c r="B50" s="25"/>
    </row>
    <row r="51" spans="1:2">
      <c r="A51" s="14" t="s">
        <v>732</v>
      </c>
      <c r="B51" s="17" t="s">
        <v>718</v>
      </c>
    </row>
    <row r="52" spans="1:2">
      <c r="A52" s="20" t="s">
        <v>720</v>
      </c>
      <c r="B52" s="21">
        <v>7345</v>
      </c>
    </row>
    <row r="53" spans="1:2">
      <c r="A53" s="20" t="s">
        <v>721</v>
      </c>
      <c r="B53" s="21">
        <v>14320</v>
      </c>
    </row>
    <row r="54" spans="1:2">
      <c r="A54" s="20" t="s">
        <v>722</v>
      </c>
      <c r="B54" s="21">
        <v>7375</v>
      </c>
    </row>
    <row r="55" spans="1:2">
      <c r="A55" s="20" t="s">
        <v>723</v>
      </c>
      <c r="B55" s="21">
        <v>16745</v>
      </c>
    </row>
    <row r="56" spans="1:2">
      <c r="A56" s="20" t="s">
        <v>724</v>
      </c>
      <c r="B56" s="21">
        <v>15850</v>
      </c>
    </row>
    <row r="57" spans="1:2">
      <c r="A57" s="20" t="s">
        <v>725</v>
      </c>
      <c r="B57" s="21">
        <v>15200</v>
      </c>
    </row>
    <row r="58" spans="1:2">
      <c r="A58" s="20" t="s">
        <v>726</v>
      </c>
      <c r="B58" s="21">
        <v>11640</v>
      </c>
    </row>
    <row r="59" spans="1:2">
      <c r="A59" s="20" t="s">
        <v>727</v>
      </c>
      <c r="B59" s="21">
        <v>16445</v>
      </c>
    </row>
    <row r="60" spans="1:2">
      <c r="A60" s="20" t="s">
        <v>728</v>
      </c>
      <c r="B60" s="21">
        <v>12460</v>
      </c>
    </row>
    <row r="61" spans="1:2">
      <c r="A61" s="20" t="s">
        <v>729</v>
      </c>
      <c r="B61" s="21">
        <v>10720</v>
      </c>
    </row>
    <row r="62" spans="1:2">
      <c r="A62" s="20" t="s">
        <v>730</v>
      </c>
      <c r="B62" s="21">
        <v>10845</v>
      </c>
    </row>
    <row r="63" spans="1:2">
      <c r="A63" s="20" t="s">
        <v>731</v>
      </c>
      <c r="B63" s="21">
        <v>12655</v>
      </c>
    </row>
    <row r="64" spans="1:2">
      <c r="A64" s="15" t="s">
        <v>717</v>
      </c>
      <c r="B64" s="22">
        <v>151600</v>
      </c>
    </row>
    <row r="67" spans="1:8">
      <c r="A67" s="25" t="s">
        <v>739</v>
      </c>
      <c r="B67" s="25"/>
      <c r="C67" s="25"/>
    </row>
    <row r="68" spans="1:8">
      <c r="A68" s="14" t="s">
        <v>718</v>
      </c>
      <c r="B68" s="18" t="s">
        <v>737</v>
      </c>
      <c r="C68" s="2"/>
      <c r="D68" s="2"/>
      <c r="E68" s="2"/>
      <c r="F68"/>
      <c r="H68"/>
    </row>
    <row r="69" spans="1:8">
      <c r="A69" s="14" t="s">
        <v>30</v>
      </c>
      <c r="B69" s="19" t="s">
        <v>7</v>
      </c>
      <c r="C69" s="2" t="s">
        <v>23</v>
      </c>
      <c r="D69" t="s">
        <v>16</v>
      </c>
      <c r="E69" t="s">
        <v>717</v>
      </c>
      <c r="F69"/>
      <c r="H69"/>
    </row>
    <row r="70" spans="1:8">
      <c r="A70" s="15" t="s">
        <v>43</v>
      </c>
      <c r="B70" s="22">
        <v>12855</v>
      </c>
      <c r="C70" s="22">
        <v>8655</v>
      </c>
      <c r="D70" s="22">
        <v>8740</v>
      </c>
      <c r="E70" s="22">
        <v>30250</v>
      </c>
      <c r="F70"/>
      <c r="H70"/>
    </row>
    <row r="71" spans="1:8">
      <c r="A71" s="15" t="s">
        <v>47</v>
      </c>
      <c r="B71" s="22">
        <v>13860</v>
      </c>
      <c r="C71" s="22">
        <v>8100</v>
      </c>
      <c r="D71" s="22">
        <v>5815</v>
      </c>
      <c r="E71" s="22">
        <v>27775</v>
      </c>
      <c r="F71"/>
      <c r="H71"/>
    </row>
    <row r="72" spans="1:8">
      <c r="A72" s="15" t="s">
        <v>39</v>
      </c>
      <c r="B72" s="22">
        <v>12545</v>
      </c>
      <c r="C72" s="22">
        <v>10860</v>
      </c>
      <c r="D72" s="22">
        <v>7655</v>
      </c>
      <c r="E72" s="22">
        <v>31060</v>
      </c>
      <c r="F72"/>
      <c r="H72"/>
    </row>
    <row r="73" spans="1:8">
      <c r="A73" s="15" t="s">
        <v>51</v>
      </c>
      <c r="B73" s="22">
        <v>14520</v>
      </c>
      <c r="C73" s="22">
        <v>9780</v>
      </c>
      <c r="D73" s="22">
        <v>8190</v>
      </c>
      <c r="E73" s="22">
        <v>32490</v>
      </c>
      <c r="F73"/>
      <c r="H73"/>
    </row>
    <row r="74" spans="1:8">
      <c r="A74" s="15" t="s">
        <v>35</v>
      </c>
      <c r="B74" s="22">
        <v>12880</v>
      </c>
      <c r="C74" s="22">
        <v>7720</v>
      </c>
      <c r="D74" s="22">
        <v>9425</v>
      </c>
      <c r="E74" s="22">
        <v>30025</v>
      </c>
      <c r="F74"/>
      <c r="H74"/>
    </row>
    <row r="75" spans="1:8">
      <c r="A75" s="15" t="s">
        <v>717</v>
      </c>
      <c r="B75" s="22">
        <v>66660</v>
      </c>
      <c r="C75" s="22">
        <v>45115</v>
      </c>
      <c r="D75" s="22">
        <v>39825</v>
      </c>
      <c r="E75" s="22">
        <v>151600</v>
      </c>
      <c r="F75"/>
      <c r="H75"/>
    </row>
    <row r="76" spans="1:8">
      <c r="B76"/>
      <c r="F76"/>
      <c r="H76"/>
    </row>
  </sheetData>
  <mergeCells count="5">
    <mergeCell ref="A35:C35"/>
    <mergeCell ref="A50:B50"/>
    <mergeCell ref="A67:C67"/>
    <mergeCell ref="A4:C4"/>
    <mergeCell ref="A20:B20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Products</vt:lpstr>
      <vt:lpstr>Sales Reps</vt:lpstr>
      <vt:lpstr>Orders</vt:lpstr>
      <vt:lpstr>Analysis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</cp:lastModifiedBy>
  <dcterms:created xsi:type="dcterms:W3CDTF">2026-06-11T00:23:12Z</dcterms:created>
  <dcterms:modified xsi:type="dcterms:W3CDTF">2026-06-11T05:36:46Z</dcterms:modified>
</cp:coreProperties>
</file>